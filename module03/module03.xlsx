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hidePivotFieldList="1" defaultThemeVersion="166925"/>
  <xr:revisionPtr revIDLastSave="0" documentId="8_{6FD95720-BB05-4748-B6B1-37A5CC4B6770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Ex00" sheetId="1" r:id="rId1"/>
    <sheet name="Ex01" sheetId="2" r:id="rId2"/>
    <sheet name="Ex02" sheetId="3" r:id="rId3"/>
    <sheet name="Ex03" sheetId="4" r:id="rId4"/>
    <sheet name="Ex04" sheetId="7" r:id="rId5"/>
    <sheet name="Ex05" sheetId="8" r:id="rId6"/>
    <sheet name="Ex06" sheetId="9" r:id="rId7"/>
    <sheet name="Ex07" sheetId="10" r:id="rId8"/>
  </sheets>
  <definedNames>
    <definedName name="_xlnm._FilterDatabase" localSheetId="7" hidden="1">'Ex07'!$B$1:$B$33</definedName>
  </definedNames>
  <calcPr calcId="191028"/>
  <pivotCaches>
    <pivotCache cacheId="7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D3" i="2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2" i="10"/>
  <c r="H3" i="8"/>
  <c r="I3" i="8" s="1"/>
  <c r="H4" i="8"/>
  <c r="I4" i="8" s="1"/>
  <c r="H5" i="8"/>
  <c r="I5" i="8" s="1"/>
  <c r="H6" i="8"/>
  <c r="I6" i="8" s="1"/>
  <c r="H7" i="8"/>
  <c r="I7" i="8" s="1"/>
  <c r="H8" i="8"/>
  <c r="I8" i="8" s="1"/>
  <c r="H9" i="8"/>
  <c r="I9" i="8" s="1"/>
  <c r="H10" i="8"/>
  <c r="I10" i="8" s="1"/>
  <c r="H11" i="8"/>
  <c r="I11" i="8" s="1"/>
  <c r="H12" i="8"/>
  <c r="I12" i="8" s="1"/>
  <c r="H13" i="8"/>
  <c r="I13" i="8" s="1"/>
  <c r="H14" i="8"/>
  <c r="I14" i="8" s="1"/>
  <c r="H15" i="8"/>
  <c r="I15" i="8" s="1"/>
  <c r="H16" i="8"/>
  <c r="I16" i="8" s="1"/>
  <c r="H17" i="8"/>
  <c r="I17" i="8" s="1"/>
  <c r="H18" i="8"/>
  <c r="I18" i="8" s="1"/>
  <c r="H19" i="8"/>
  <c r="I19" i="8" s="1"/>
  <c r="H20" i="8"/>
  <c r="I20" i="8" s="1"/>
  <c r="H21" i="8"/>
  <c r="I21" i="8" s="1"/>
  <c r="H22" i="8"/>
  <c r="I22" i="8" s="1"/>
  <c r="H23" i="8"/>
  <c r="I23" i="8" s="1"/>
  <c r="H24" i="8"/>
  <c r="I24" i="8" s="1"/>
  <c r="H25" i="8"/>
  <c r="I25" i="8" s="1"/>
  <c r="H26" i="8"/>
  <c r="I26" i="8" s="1"/>
  <c r="H27" i="8"/>
  <c r="I27" i="8" s="1"/>
  <c r="H28" i="8"/>
  <c r="I28" i="8" s="1"/>
  <c r="H29" i="8"/>
  <c r="I29" i="8" s="1"/>
  <c r="H30" i="8"/>
  <c r="I30" i="8" s="1"/>
  <c r="H31" i="8"/>
  <c r="I31" i="8" s="1"/>
  <c r="H32" i="8"/>
  <c r="I32" i="8" s="1"/>
  <c r="H33" i="8"/>
  <c r="I33" i="8" s="1"/>
  <c r="H34" i="8"/>
  <c r="I34" i="8" s="1"/>
  <c r="H35" i="8"/>
  <c r="I35" i="8" s="1"/>
  <c r="H36" i="8"/>
  <c r="I36" i="8" s="1"/>
  <c r="H37" i="8"/>
  <c r="I37" i="8" s="1"/>
  <c r="H38" i="8"/>
  <c r="I38" i="8" s="1"/>
  <c r="H39" i="8"/>
  <c r="I39" i="8" s="1"/>
  <c r="H40" i="8"/>
  <c r="I40" i="8" s="1"/>
  <c r="H41" i="8"/>
  <c r="I41" i="8" s="1"/>
  <c r="H42" i="8"/>
  <c r="I42" i="8" s="1"/>
  <c r="H43" i="8"/>
  <c r="I43" i="8" s="1"/>
  <c r="H44" i="8"/>
  <c r="I44" i="8" s="1"/>
  <c r="H45" i="8"/>
  <c r="I45" i="8" s="1"/>
  <c r="H46" i="8"/>
  <c r="I46" i="8" s="1"/>
  <c r="H47" i="8"/>
  <c r="I47" i="8" s="1"/>
  <c r="H48" i="8"/>
  <c r="I48" i="8" s="1"/>
  <c r="H49" i="8"/>
  <c r="I49" i="8" s="1"/>
  <c r="H50" i="8"/>
  <c r="I50" i="8" s="1"/>
  <c r="H51" i="8"/>
  <c r="I51" i="8" s="1"/>
  <c r="H52" i="8"/>
  <c r="I52" i="8" s="1"/>
  <c r="H53" i="8"/>
  <c r="I53" i="8" s="1"/>
  <c r="H54" i="8"/>
  <c r="I54" i="8" s="1"/>
  <c r="H55" i="8"/>
  <c r="I55" i="8" s="1"/>
  <c r="H56" i="8"/>
  <c r="I56" i="8" s="1"/>
  <c r="H57" i="8"/>
  <c r="I57" i="8" s="1"/>
  <c r="H58" i="8"/>
  <c r="I58" i="8" s="1"/>
  <c r="H59" i="8"/>
  <c r="I59" i="8" s="1"/>
  <c r="H60" i="8"/>
  <c r="I60" i="8" s="1"/>
  <c r="H61" i="8"/>
  <c r="I61" i="8" s="1"/>
  <c r="H62" i="8"/>
  <c r="I62" i="8" s="1"/>
  <c r="H63" i="8"/>
  <c r="I63" i="8" s="1"/>
  <c r="H64" i="8"/>
  <c r="I64" i="8" s="1"/>
  <c r="H65" i="8"/>
  <c r="I65" i="8" s="1"/>
  <c r="H66" i="8"/>
  <c r="I66" i="8" s="1"/>
  <c r="H67" i="8"/>
  <c r="I67" i="8" s="1"/>
  <c r="H68" i="8"/>
  <c r="I68" i="8" s="1"/>
  <c r="H69" i="8"/>
  <c r="I69" i="8" s="1"/>
  <c r="H70" i="8"/>
  <c r="I70" i="8" s="1"/>
  <c r="H71" i="8"/>
  <c r="I71" i="8" s="1"/>
  <c r="H72" i="8"/>
  <c r="I72" i="8" s="1"/>
  <c r="H73" i="8"/>
  <c r="I73" i="8" s="1"/>
  <c r="H74" i="8"/>
  <c r="I74" i="8" s="1"/>
  <c r="H75" i="8"/>
  <c r="I75" i="8" s="1"/>
  <c r="H76" i="8"/>
  <c r="I76" i="8" s="1"/>
  <c r="H77" i="8"/>
  <c r="I77" i="8" s="1"/>
  <c r="H78" i="8"/>
  <c r="I78" i="8" s="1"/>
  <c r="H79" i="8"/>
  <c r="I79" i="8" s="1"/>
  <c r="H80" i="8"/>
  <c r="I80" i="8" s="1"/>
  <c r="H81" i="8"/>
  <c r="I81" i="8" s="1"/>
  <c r="H82" i="8"/>
  <c r="I82" i="8" s="1"/>
  <c r="H83" i="8"/>
  <c r="I83" i="8" s="1"/>
  <c r="H84" i="8"/>
  <c r="I84" i="8" s="1"/>
  <c r="H85" i="8"/>
  <c r="I85" i="8" s="1"/>
  <c r="H86" i="8"/>
  <c r="I86" i="8" s="1"/>
  <c r="H87" i="8"/>
  <c r="I87" i="8" s="1"/>
  <c r="H88" i="8"/>
  <c r="I88" i="8" s="1"/>
  <c r="H89" i="8"/>
  <c r="I89" i="8" s="1"/>
  <c r="H90" i="8"/>
  <c r="I90" i="8" s="1"/>
  <c r="H91" i="8"/>
  <c r="I91" i="8" s="1"/>
  <c r="H92" i="8"/>
  <c r="I92" i="8" s="1"/>
  <c r="H93" i="8"/>
  <c r="I93" i="8" s="1"/>
  <c r="H94" i="8"/>
  <c r="I94" i="8" s="1"/>
  <c r="H95" i="8"/>
  <c r="I95" i="8" s="1"/>
  <c r="H96" i="8"/>
  <c r="I96" i="8" s="1"/>
  <c r="H97" i="8"/>
  <c r="I97" i="8" s="1"/>
  <c r="H98" i="8"/>
  <c r="I98" i="8" s="1"/>
  <c r="H99" i="8"/>
  <c r="I99" i="8" s="1"/>
  <c r="H100" i="8"/>
  <c r="I100" i="8" s="1"/>
  <c r="H2" i="8"/>
  <c r="I2" i="8" s="1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E4" i="4"/>
  <c r="E3" i="4"/>
  <c r="E2" i="4"/>
  <c r="E2" i="3"/>
  <c r="D2" i="2"/>
</calcChain>
</file>

<file path=xl/sharedStrings.xml><?xml version="1.0" encoding="utf-8"?>
<sst xmlns="http://schemas.openxmlformats.org/spreadsheetml/2006/main" count="748" uniqueCount="292">
  <si>
    <t>Hello world!</t>
  </si>
  <si>
    <t>Nome</t>
  </si>
  <si>
    <t>Cognome</t>
  </si>
  <si>
    <t>Nome completo</t>
  </si>
  <si>
    <t>Jean</t>
  </si>
  <si>
    <t>Dupont</t>
  </si>
  <si>
    <t>Jaccques</t>
  </si>
  <si>
    <t>Durant</t>
  </si>
  <si>
    <t>Anno di nascita</t>
  </si>
  <si>
    <t>Identificatore</t>
  </si>
  <si>
    <t>Jacques</t>
  </si>
  <si>
    <t>Marie</t>
  </si>
  <si>
    <t>Dupis</t>
  </si>
  <si>
    <t>Data di nascita</t>
  </si>
  <si>
    <t>Mansione</t>
  </si>
  <si>
    <t>Data di assunzione</t>
  </si>
  <si>
    <t>Stipendio annuo</t>
  </si>
  <si>
    <t>Marco</t>
  </si>
  <si>
    <t>Rossi</t>
  </si>
  <si>
    <t>Responsabile IT</t>
  </si>
  <si>
    <t>Luca</t>
  </si>
  <si>
    <t>Bianchi</t>
  </si>
  <si>
    <t>Sviluppatore Software</t>
  </si>
  <si>
    <t>Giulia</t>
  </si>
  <si>
    <t>Verdi</t>
  </si>
  <si>
    <t>HR Specialist</t>
  </si>
  <si>
    <t>Francesco</t>
  </si>
  <si>
    <t>Esposito</t>
  </si>
  <si>
    <t>Direttore Operativo</t>
  </si>
  <si>
    <t>Anna</t>
  </si>
  <si>
    <t>Romano</t>
  </si>
  <si>
    <t>Marketing Specialist</t>
  </si>
  <si>
    <t>Paolo</t>
  </si>
  <si>
    <t>Colombo</t>
  </si>
  <si>
    <t>Analista Dati</t>
  </si>
  <si>
    <t>Sara</t>
  </si>
  <si>
    <t>Ricci</t>
  </si>
  <si>
    <t>Graphic Designer</t>
  </si>
  <si>
    <t>Davide</t>
  </si>
  <si>
    <t>Marino</t>
  </si>
  <si>
    <t>Project Manager</t>
  </si>
  <si>
    <t>Elena</t>
  </si>
  <si>
    <t>Greco</t>
  </si>
  <si>
    <t>Account Manager</t>
  </si>
  <si>
    <t>Andrea</t>
  </si>
  <si>
    <t>De Luca</t>
  </si>
  <si>
    <t>Responsabile Vendite</t>
  </si>
  <si>
    <t>Marta</t>
  </si>
  <si>
    <t>Giordano</t>
  </si>
  <si>
    <t>Social Media Manager</t>
  </si>
  <si>
    <t>Simone</t>
  </si>
  <si>
    <t>Conti</t>
  </si>
  <si>
    <t>Sistemista</t>
  </si>
  <si>
    <t>Chiara</t>
  </si>
  <si>
    <t>Ferrari</t>
  </si>
  <si>
    <t>UX Designer</t>
  </si>
  <si>
    <t>Alessandro</t>
  </si>
  <si>
    <t>Moretti</t>
  </si>
  <si>
    <t>Direttore Finanziario</t>
  </si>
  <si>
    <t>Federica</t>
  </si>
  <si>
    <t>Barbieri</t>
  </si>
  <si>
    <t>Assistente Amministrativo</t>
  </si>
  <si>
    <t>Matteo</t>
  </si>
  <si>
    <t>Rinaldi</t>
  </si>
  <si>
    <t>Consulente IT</t>
  </si>
  <si>
    <t>Valentina</t>
  </si>
  <si>
    <t>Galli</t>
  </si>
  <si>
    <t>Recruiter</t>
  </si>
  <si>
    <t>Stefano</t>
  </si>
  <si>
    <t>Martini</t>
  </si>
  <si>
    <t>Responsabile Produzione</t>
  </si>
  <si>
    <t>Ilaria</t>
  </si>
  <si>
    <t>Testa</t>
  </si>
  <si>
    <t>Content Editor</t>
  </si>
  <si>
    <t>Giorgio</t>
  </si>
  <si>
    <t>Caruso</t>
  </si>
  <si>
    <t>Ingegnere Gestionale</t>
  </si>
  <si>
    <t>Laura</t>
  </si>
  <si>
    <t>Serra</t>
  </si>
  <si>
    <t>Customer Care Manager</t>
  </si>
  <si>
    <t>Nicola</t>
  </si>
  <si>
    <t>Fabbri</t>
  </si>
  <si>
    <t>Quality Manager</t>
  </si>
  <si>
    <t>Roberta</t>
  </si>
  <si>
    <t>Leone</t>
  </si>
  <si>
    <t>Amministrazione</t>
  </si>
  <si>
    <t>Fabio</t>
  </si>
  <si>
    <t>Longo</t>
  </si>
  <si>
    <t>Responsabile Logistica</t>
  </si>
  <si>
    <t>Silvia</t>
  </si>
  <si>
    <t>Pellegrini</t>
  </si>
  <si>
    <t>Junior Analyst</t>
  </si>
  <si>
    <t>Daniele</t>
  </si>
  <si>
    <t>Fontana</t>
  </si>
  <si>
    <t>DevOps Engineer</t>
  </si>
  <si>
    <t>Alessia</t>
  </si>
  <si>
    <t>Costa</t>
  </si>
  <si>
    <t>PR Manager</t>
  </si>
  <si>
    <t>Roberto</t>
  </si>
  <si>
    <t>Monti</t>
  </si>
  <si>
    <t>Direttore Commerciale</t>
  </si>
  <si>
    <t>Beatrice</t>
  </si>
  <si>
    <t>Palumbo</t>
  </si>
  <si>
    <t>Segreteria</t>
  </si>
  <si>
    <t>Enrico</t>
  </si>
  <si>
    <t>Santoro</t>
  </si>
  <si>
    <t>Product Manager</t>
  </si>
  <si>
    <t>Claudia</t>
  </si>
  <si>
    <t>Fiore</t>
  </si>
  <si>
    <t>Legal Specialist</t>
  </si>
  <si>
    <t>Massimo</t>
  </si>
  <si>
    <t>De Santis</t>
  </si>
  <si>
    <t>Responsabile Acquisti</t>
  </si>
  <si>
    <t>Irene</t>
  </si>
  <si>
    <t>Messina</t>
  </si>
  <si>
    <t>Event Manager</t>
  </si>
  <si>
    <t>Pietro</t>
  </si>
  <si>
    <t>Bellini</t>
  </si>
  <si>
    <t>Network Engineer</t>
  </si>
  <si>
    <t>Francesca</t>
  </si>
  <si>
    <t>Amato</t>
  </si>
  <si>
    <t>Formazione HR</t>
  </si>
  <si>
    <t>Luigi</t>
  </si>
  <si>
    <t>Neri</t>
  </si>
  <si>
    <t>Responsabile Sicurezza</t>
  </si>
  <si>
    <t>Serena</t>
  </si>
  <si>
    <t>Vitali</t>
  </si>
  <si>
    <t>Assistente Marketing</t>
  </si>
  <si>
    <t>Carlo</t>
  </si>
  <si>
    <t>Parisi</t>
  </si>
  <si>
    <t>Ingegnere Meccanico</t>
  </si>
  <si>
    <t>Monica</t>
  </si>
  <si>
    <t>Orlando</t>
  </si>
  <si>
    <t>Controller</t>
  </si>
  <si>
    <t>Riccardo</t>
  </si>
  <si>
    <t>Basile</t>
  </si>
  <si>
    <t>Business Analyst</t>
  </si>
  <si>
    <t>Giada</t>
  </si>
  <si>
    <t>Ruggiero</t>
  </si>
  <si>
    <t>Junior HR</t>
  </si>
  <si>
    <t>Alberto</t>
  </si>
  <si>
    <t>Pagani</t>
  </si>
  <si>
    <t>Responsabile Qualità</t>
  </si>
  <si>
    <t>Noemi</t>
  </si>
  <si>
    <t>Farina</t>
  </si>
  <si>
    <t>Copywriter</t>
  </si>
  <si>
    <t>Vincenzo</t>
  </si>
  <si>
    <t>Torrisi</t>
  </si>
  <si>
    <t>Sales Engineer</t>
  </si>
  <si>
    <t>Elisa</t>
  </si>
  <si>
    <t>Marchetti</t>
  </si>
  <si>
    <t>Office Manager</t>
  </si>
  <si>
    <t>Tommaso</t>
  </si>
  <si>
    <t>Grassi</t>
  </si>
  <si>
    <t>Stagista IT</t>
  </si>
  <si>
    <t>Patrizia</t>
  </si>
  <si>
    <t>Luciani</t>
  </si>
  <si>
    <t>Direttrice HR</t>
  </si>
  <si>
    <t>Emanuele</t>
  </si>
  <si>
    <t>Valenti</t>
  </si>
  <si>
    <t>Responsabile CRM</t>
  </si>
  <si>
    <t>Martina</t>
  </si>
  <si>
    <t>Sala</t>
  </si>
  <si>
    <t>Data Analyst</t>
  </si>
  <si>
    <t>Sergio</t>
  </si>
  <si>
    <t>Mariani</t>
  </si>
  <si>
    <t>Responsabile Manutenzione</t>
  </si>
  <si>
    <t>Alice</t>
  </si>
  <si>
    <t>Donati</t>
  </si>
  <si>
    <t>Assistente IT</t>
  </si>
  <si>
    <t>Giovanni</t>
  </si>
  <si>
    <t>Bruno</t>
  </si>
  <si>
    <t>CEO</t>
  </si>
  <si>
    <t>Pozzi</t>
  </si>
  <si>
    <t>Ingegnere Software</t>
  </si>
  <si>
    <t>Lucia</t>
  </si>
  <si>
    <t>Mancini</t>
  </si>
  <si>
    <t>Payroll Specialist</t>
  </si>
  <si>
    <t>Forti</t>
  </si>
  <si>
    <t>Responsabile Magazzino</t>
  </si>
  <si>
    <t>Riva</t>
  </si>
  <si>
    <t>Digital Marketing Specialist</t>
  </si>
  <si>
    <t>Benedetti</t>
  </si>
  <si>
    <t>IT Support Specialist</t>
  </si>
  <si>
    <t>Guidi</t>
  </si>
  <si>
    <t>Assistente HR</t>
  </si>
  <si>
    <t>Alessio</t>
  </si>
  <si>
    <t>Pellegrino</t>
  </si>
  <si>
    <t>Cloud Engineer</t>
  </si>
  <si>
    <t>Negri</t>
  </si>
  <si>
    <t>Amministrazione Fornitori</t>
  </si>
  <si>
    <t>Gabriele</t>
  </si>
  <si>
    <t>Silvestri</t>
  </si>
  <si>
    <t>Responsabile Tecnico</t>
  </si>
  <si>
    <t>Valeria</t>
  </si>
  <si>
    <t>Cattaneo</t>
  </si>
  <si>
    <t>Communication Specialist</t>
  </si>
  <si>
    <t>Villa</t>
  </si>
  <si>
    <t>Business Developer</t>
  </si>
  <si>
    <t>Federico</t>
  </si>
  <si>
    <t>Piras</t>
  </si>
  <si>
    <t>Responsabile Infrastrutture</t>
  </si>
  <si>
    <t>Marchegiani</t>
  </si>
  <si>
    <t>Junior Controller</t>
  </si>
  <si>
    <t>Moro</t>
  </si>
  <si>
    <t>Plant Manager</t>
  </si>
  <si>
    <t>Pagnotta</t>
  </si>
  <si>
    <t>E-commerce Specialist</t>
  </si>
  <si>
    <t>Antonio</t>
  </si>
  <si>
    <t>Lombardi</t>
  </si>
  <si>
    <t>Responsabile Customer Service</t>
  </si>
  <si>
    <t>Pieri</t>
  </si>
  <si>
    <t>Compliance Officer</t>
  </si>
  <si>
    <t>Niccolò</t>
  </si>
  <si>
    <t>Bartoli</t>
  </si>
  <si>
    <t>Junior Developer</t>
  </si>
  <si>
    <t>De Marchi</t>
  </si>
  <si>
    <t>Supply Chain Planner</t>
  </si>
  <si>
    <t>Michele</t>
  </si>
  <si>
    <t>Zanetti</t>
  </si>
  <si>
    <t>Responsabile Pianificazione</t>
  </si>
  <si>
    <t>Sartori</t>
  </si>
  <si>
    <t>Back Office Commerciale</t>
  </si>
  <si>
    <t>Ferretti</t>
  </si>
  <si>
    <t>Operations Director</t>
  </si>
  <si>
    <t>Cecconi</t>
  </si>
  <si>
    <t>Data Visualization Specialist</t>
  </si>
  <si>
    <t>Gentili</t>
  </si>
  <si>
    <t>Ingegnere Elettronico</t>
  </si>
  <si>
    <t>Locatelli</t>
  </si>
  <si>
    <t>Assistente Direzione</t>
  </si>
  <si>
    <t>Lorenzo</t>
  </si>
  <si>
    <t>Battaglia</t>
  </si>
  <si>
    <t>Product Owner</t>
  </si>
  <si>
    <t>Alessandra</t>
  </si>
  <si>
    <t>Pepe</t>
  </si>
  <si>
    <t>HR Business Partner</t>
  </si>
  <si>
    <t>Danilo</t>
  </si>
  <si>
    <t>Rossetti</t>
  </si>
  <si>
    <t>Responsabile Turni</t>
  </si>
  <si>
    <t>Fontanella</t>
  </si>
  <si>
    <t>CRM Specialist</t>
  </si>
  <si>
    <t>Enzo</t>
  </si>
  <si>
    <t>Coppola</t>
  </si>
  <si>
    <t>Responsabile Facility</t>
  </si>
  <si>
    <t>Calabrese</t>
  </si>
  <si>
    <t>Brand Manager</t>
  </si>
  <si>
    <t>Landi</t>
  </si>
  <si>
    <t>Chief Operations Officer</t>
  </si>
  <si>
    <t>Tonelli</t>
  </si>
  <si>
    <t>Talent Acquisition Junior</t>
  </si>
  <si>
    <t>Gallo</t>
  </si>
  <si>
    <t>Ingegnere di Processo</t>
  </si>
  <si>
    <t>Russo</t>
  </si>
  <si>
    <t>Internal Auditor</t>
  </si>
  <si>
    <t>Bertani</t>
  </si>
  <si>
    <t>Responsabile Sistemi Informativi</t>
  </si>
  <si>
    <t>Pozzoli</t>
  </si>
  <si>
    <t>Responsabile Help Desk</t>
  </si>
  <si>
    <t>Bonetti</t>
  </si>
  <si>
    <t>Marketing Analyst</t>
  </si>
  <si>
    <t>Ferrero</t>
  </si>
  <si>
    <t>Ingegnere Industriale</t>
  </si>
  <si>
    <t>Sorrentino</t>
  </si>
  <si>
    <t>HR Administration</t>
  </si>
  <si>
    <t>Lucchesi</t>
  </si>
  <si>
    <t>Key Account Manager</t>
  </si>
  <si>
    <t>Maffei</t>
  </si>
  <si>
    <t>Business Intelligence Analyst</t>
  </si>
  <si>
    <t>Responsabile Controllo Qualità</t>
  </si>
  <si>
    <t>Fusco</t>
  </si>
  <si>
    <t>Training Specialist</t>
  </si>
  <si>
    <t>Solution Architect</t>
  </si>
  <si>
    <t>Lodi</t>
  </si>
  <si>
    <t>Ufficio Gare</t>
  </si>
  <si>
    <t>Castellani</t>
  </si>
  <si>
    <t>Responsabile Pianificazione Finanziaria</t>
  </si>
  <si>
    <t>Costantino</t>
  </si>
  <si>
    <t>Colo</t>
  </si>
  <si>
    <t>Programmatore</t>
  </si>
  <si>
    <t>Eta'</t>
  </si>
  <si>
    <t>Anzianita'</t>
  </si>
  <si>
    <t>Bonus annuale di anzianita'</t>
  </si>
  <si>
    <t>Media di Stipendio annuo</t>
  </si>
  <si>
    <t>Totale complessivo</t>
  </si>
  <si>
    <t>Anno</t>
  </si>
  <si>
    <t>CO2</t>
  </si>
  <si>
    <t>Deforestazione</t>
  </si>
  <si>
    <t>Temperatura</t>
  </si>
  <si>
    <t>CO2_norm</t>
  </si>
  <si>
    <t>Def_norm</t>
  </si>
  <si>
    <t>Temp_norm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</si>
</sst>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0" borderId="0" xfId="0" pivotButton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[Book.xlsx]Ex06!Tabella pivot2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Stipendio annuo medio per mansione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'Ex06'!$B$1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'Ex06'!$A$2:$A$101</c:f>
              <c:strCache>
                <c:ptCount val="99"/>
                <c:pt idx="0">
                  <c:v>Account Manager</c:v>
                </c:pt>
                <c:pt idx="1">
                  <c:v>Amministrazione</c:v>
                </c:pt>
                <c:pt idx="2">
                  <c:v>Amministrazione Fornitori</c:v>
                </c:pt>
                <c:pt idx="3">
                  <c:v>Analista Dati</c:v>
                </c:pt>
                <c:pt idx="4">
                  <c:v>Assistente Amministrativo</c:v>
                </c:pt>
                <c:pt idx="5">
                  <c:v>Assistente Direzione</c:v>
                </c:pt>
                <c:pt idx="6">
                  <c:v>Assistente HR</c:v>
                </c:pt>
                <c:pt idx="7">
                  <c:v>Assistente IT</c:v>
                </c:pt>
                <c:pt idx="8">
                  <c:v>Assistente Marketing</c:v>
                </c:pt>
                <c:pt idx="9">
                  <c:v>Back Office Commerciale</c:v>
                </c:pt>
                <c:pt idx="10">
                  <c:v>Brand Manager</c:v>
                </c:pt>
                <c:pt idx="11">
                  <c:v>Business Analyst</c:v>
                </c:pt>
                <c:pt idx="12">
                  <c:v>Business Developer</c:v>
                </c:pt>
                <c:pt idx="13">
                  <c:v>Business Intelligence Analyst</c:v>
                </c:pt>
                <c:pt idx="14">
                  <c:v>CEO</c:v>
                </c:pt>
                <c:pt idx="15">
                  <c:v>Chief Operations Officer</c:v>
                </c:pt>
                <c:pt idx="16">
                  <c:v>Cloud Engineer</c:v>
                </c:pt>
                <c:pt idx="17">
                  <c:v>Communication Specialist</c:v>
                </c:pt>
                <c:pt idx="18">
                  <c:v>Compliance Officer</c:v>
                </c:pt>
                <c:pt idx="19">
                  <c:v>Consulente IT</c:v>
                </c:pt>
                <c:pt idx="20">
                  <c:v>Content Editor</c:v>
                </c:pt>
                <c:pt idx="21">
                  <c:v>Controller</c:v>
                </c:pt>
                <c:pt idx="22">
                  <c:v>Copywriter</c:v>
                </c:pt>
                <c:pt idx="23">
                  <c:v>CRM Specialist</c:v>
                </c:pt>
                <c:pt idx="24">
                  <c:v>Customer Care Manager</c:v>
                </c:pt>
                <c:pt idx="25">
                  <c:v>Data Analyst</c:v>
                </c:pt>
                <c:pt idx="26">
                  <c:v>Data Visualization Specialist</c:v>
                </c:pt>
                <c:pt idx="27">
                  <c:v>DevOps Engineer</c:v>
                </c:pt>
                <c:pt idx="28">
                  <c:v>Digital Marketing Specialist</c:v>
                </c:pt>
                <c:pt idx="29">
                  <c:v>Direttore Commerciale</c:v>
                </c:pt>
                <c:pt idx="30">
                  <c:v>Direttore Finanziario</c:v>
                </c:pt>
                <c:pt idx="31">
                  <c:v>Direttore Operativo</c:v>
                </c:pt>
                <c:pt idx="32">
                  <c:v>Direttrice HR</c:v>
                </c:pt>
                <c:pt idx="33">
                  <c:v>E-commerce Specialist</c:v>
                </c:pt>
                <c:pt idx="34">
                  <c:v>Event Manager</c:v>
                </c:pt>
                <c:pt idx="35">
                  <c:v>Formazione HR</c:v>
                </c:pt>
                <c:pt idx="36">
                  <c:v>Graphic Designer</c:v>
                </c:pt>
                <c:pt idx="37">
                  <c:v>HR Administration</c:v>
                </c:pt>
                <c:pt idx="38">
                  <c:v>HR Business Partner</c:v>
                </c:pt>
                <c:pt idx="39">
                  <c:v>HR Specialist</c:v>
                </c:pt>
                <c:pt idx="40">
                  <c:v>Ingegnere di Processo</c:v>
                </c:pt>
                <c:pt idx="41">
                  <c:v>Ingegnere Elettronico</c:v>
                </c:pt>
                <c:pt idx="42">
                  <c:v>Ingegnere Gestionale</c:v>
                </c:pt>
                <c:pt idx="43">
                  <c:v>Ingegnere Industriale</c:v>
                </c:pt>
                <c:pt idx="44">
                  <c:v>Ingegnere Meccanico</c:v>
                </c:pt>
                <c:pt idx="45">
                  <c:v>Ingegnere Software</c:v>
                </c:pt>
                <c:pt idx="46">
                  <c:v>Internal Auditor</c:v>
                </c:pt>
                <c:pt idx="47">
                  <c:v>IT Support Specialist</c:v>
                </c:pt>
                <c:pt idx="48">
                  <c:v>Junior Analyst</c:v>
                </c:pt>
                <c:pt idx="49">
                  <c:v>Junior Controller</c:v>
                </c:pt>
                <c:pt idx="50">
                  <c:v>Junior Developer</c:v>
                </c:pt>
                <c:pt idx="51">
                  <c:v>Junior HR</c:v>
                </c:pt>
                <c:pt idx="52">
                  <c:v>Key Account Manager</c:v>
                </c:pt>
                <c:pt idx="53">
                  <c:v>Legal Specialist</c:v>
                </c:pt>
                <c:pt idx="54">
                  <c:v>Marketing Analyst</c:v>
                </c:pt>
                <c:pt idx="55">
                  <c:v>Marketing Specialist</c:v>
                </c:pt>
                <c:pt idx="56">
                  <c:v>Network Engineer</c:v>
                </c:pt>
                <c:pt idx="57">
                  <c:v>Office Manager</c:v>
                </c:pt>
                <c:pt idx="58">
                  <c:v>Operations Director</c:v>
                </c:pt>
                <c:pt idx="59">
                  <c:v>Payroll Specialist</c:v>
                </c:pt>
                <c:pt idx="60">
                  <c:v>Plant Manager</c:v>
                </c:pt>
                <c:pt idx="61">
                  <c:v>PR Manager</c:v>
                </c:pt>
                <c:pt idx="62">
                  <c:v>Product Manager</c:v>
                </c:pt>
                <c:pt idx="63">
                  <c:v>Product Owner</c:v>
                </c:pt>
                <c:pt idx="64">
                  <c:v>Project Manager</c:v>
                </c:pt>
                <c:pt idx="65">
                  <c:v>Quality Manager</c:v>
                </c:pt>
                <c:pt idx="66">
                  <c:v>Recruiter</c:v>
                </c:pt>
                <c:pt idx="67">
                  <c:v>Responsabile Acquisti</c:v>
                </c:pt>
                <c:pt idx="68">
                  <c:v>Responsabile Controllo Qualità</c:v>
                </c:pt>
                <c:pt idx="69">
                  <c:v>Responsabile CRM</c:v>
                </c:pt>
                <c:pt idx="70">
                  <c:v>Responsabile Customer Service</c:v>
                </c:pt>
                <c:pt idx="71">
                  <c:v>Responsabile Facility</c:v>
                </c:pt>
                <c:pt idx="72">
                  <c:v>Responsabile Help Desk</c:v>
                </c:pt>
                <c:pt idx="73">
                  <c:v>Responsabile Infrastrutture</c:v>
                </c:pt>
                <c:pt idx="74">
                  <c:v>Responsabile IT</c:v>
                </c:pt>
                <c:pt idx="75">
                  <c:v>Responsabile Logistica</c:v>
                </c:pt>
                <c:pt idx="76">
                  <c:v>Responsabile Magazzino</c:v>
                </c:pt>
                <c:pt idx="77">
                  <c:v>Responsabile Manutenzione</c:v>
                </c:pt>
                <c:pt idx="78">
                  <c:v>Responsabile Pianificazione</c:v>
                </c:pt>
                <c:pt idx="79">
                  <c:v>Responsabile Pianificazione Finanziaria</c:v>
                </c:pt>
                <c:pt idx="80">
                  <c:v>Responsabile Produzione</c:v>
                </c:pt>
                <c:pt idx="81">
                  <c:v>Responsabile Qualità</c:v>
                </c:pt>
                <c:pt idx="82">
                  <c:v>Responsabile Sicurezza</c:v>
                </c:pt>
                <c:pt idx="83">
                  <c:v>Responsabile Sistemi Informativi</c:v>
                </c:pt>
                <c:pt idx="84">
                  <c:v>Responsabile Tecnico</c:v>
                </c:pt>
                <c:pt idx="85">
                  <c:v>Responsabile Turni</c:v>
                </c:pt>
                <c:pt idx="86">
                  <c:v>Responsabile Vendite</c:v>
                </c:pt>
                <c:pt idx="87">
                  <c:v>Sales Engineer</c:v>
                </c:pt>
                <c:pt idx="88">
                  <c:v>Segreteria</c:v>
                </c:pt>
                <c:pt idx="89">
                  <c:v>Sistemista</c:v>
                </c:pt>
                <c:pt idx="90">
                  <c:v>Social Media Manager</c:v>
                </c:pt>
                <c:pt idx="91">
                  <c:v>Solution Architect</c:v>
                </c:pt>
                <c:pt idx="92">
                  <c:v>Stagista IT</c:v>
                </c:pt>
                <c:pt idx="93">
                  <c:v>Supply Chain Planner</c:v>
                </c:pt>
                <c:pt idx="94">
                  <c:v>Sviluppatore Software</c:v>
                </c:pt>
                <c:pt idx="95">
                  <c:v>Talent Acquisition Junior</c:v>
                </c:pt>
                <c:pt idx="96">
                  <c:v>Training Specialist</c:v>
                </c:pt>
                <c:pt idx="97">
                  <c:v>Ufficio Gare</c:v>
                </c:pt>
                <c:pt idx="98">
                  <c:v>UX Designer</c:v>
                </c:pt>
              </c:strCache>
            </c:strRef>
          </c:cat>
          <c:val>
            <c:numRef>
              <c:f>'Ex06'!$B$2:$B$101</c:f>
              <c:numCache>
                <c:formatCode>General</c:formatCode>
                <c:ptCount val="99"/>
                <c:pt idx="0">
                  <c:v>40000</c:v>
                </c:pt>
                <c:pt idx="1">
                  <c:v>32000</c:v>
                </c:pt>
                <c:pt idx="2">
                  <c:v>34000</c:v>
                </c:pt>
                <c:pt idx="3">
                  <c:v>42000</c:v>
                </c:pt>
                <c:pt idx="4">
                  <c:v>28000</c:v>
                </c:pt>
                <c:pt idx="5">
                  <c:v>30000</c:v>
                </c:pt>
                <c:pt idx="6">
                  <c:v>29000</c:v>
                </c:pt>
                <c:pt idx="7">
                  <c:v>24000</c:v>
                </c:pt>
                <c:pt idx="8">
                  <c:v>28000</c:v>
                </c:pt>
                <c:pt idx="9">
                  <c:v>35000</c:v>
                </c:pt>
                <c:pt idx="10">
                  <c:v>39000</c:v>
                </c:pt>
                <c:pt idx="11">
                  <c:v>44000</c:v>
                </c:pt>
                <c:pt idx="12">
                  <c:v>45000</c:v>
                </c:pt>
                <c:pt idx="13">
                  <c:v>33000</c:v>
                </c:pt>
                <c:pt idx="14">
                  <c:v>95000</c:v>
                </c:pt>
                <c:pt idx="15">
                  <c:v>88000</c:v>
                </c:pt>
                <c:pt idx="16">
                  <c:v>49000</c:v>
                </c:pt>
                <c:pt idx="17">
                  <c:v>36000</c:v>
                </c:pt>
                <c:pt idx="18">
                  <c:v>46000</c:v>
                </c:pt>
                <c:pt idx="19">
                  <c:v>46000</c:v>
                </c:pt>
                <c:pt idx="20">
                  <c:v>30000</c:v>
                </c:pt>
                <c:pt idx="21">
                  <c:v>41000</c:v>
                </c:pt>
                <c:pt idx="22">
                  <c:v>32000</c:v>
                </c:pt>
                <c:pt idx="23">
                  <c:v>34000</c:v>
                </c:pt>
                <c:pt idx="24">
                  <c:v>39000</c:v>
                </c:pt>
                <c:pt idx="25">
                  <c:v>35000</c:v>
                </c:pt>
                <c:pt idx="26">
                  <c:v>36000</c:v>
                </c:pt>
                <c:pt idx="27">
                  <c:v>48000</c:v>
                </c:pt>
                <c:pt idx="28">
                  <c:v>33000</c:v>
                </c:pt>
                <c:pt idx="29">
                  <c:v>78000</c:v>
                </c:pt>
                <c:pt idx="30">
                  <c:v>80000</c:v>
                </c:pt>
                <c:pt idx="31">
                  <c:v>75000</c:v>
                </c:pt>
                <c:pt idx="32">
                  <c:v>72000</c:v>
                </c:pt>
                <c:pt idx="33">
                  <c:v>34000</c:v>
                </c:pt>
                <c:pt idx="34">
                  <c:v>33000</c:v>
                </c:pt>
                <c:pt idx="35">
                  <c:v>36000</c:v>
                </c:pt>
                <c:pt idx="36">
                  <c:v>32000</c:v>
                </c:pt>
                <c:pt idx="37">
                  <c:v>36000</c:v>
                </c:pt>
                <c:pt idx="38">
                  <c:v>42000</c:v>
                </c:pt>
                <c:pt idx="39">
                  <c:v>36000</c:v>
                </c:pt>
                <c:pt idx="40">
                  <c:v>53000</c:v>
                </c:pt>
                <c:pt idx="41">
                  <c:v>52000</c:v>
                </c:pt>
                <c:pt idx="42">
                  <c:v>50000</c:v>
                </c:pt>
                <c:pt idx="43">
                  <c:v>54000</c:v>
                </c:pt>
                <c:pt idx="44">
                  <c:v>51000</c:v>
                </c:pt>
                <c:pt idx="45">
                  <c:v>47000</c:v>
                </c:pt>
                <c:pt idx="46">
                  <c:v>46000</c:v>
                </c:pt>
                <c:pt idx="47">
                  <c:v>38000</c:v>
                </c:pt>
                <c:pt idx="48">
                  <c:v>29000</c:v>
                </c:pt>
                <c:pt idx="49">
                  <c:v>30000</c:v>
                </c:pt>
                <c:pt idx="50">
                  <c:v>28000</c:v>
                </c:pt>
                <c:pt idx="51">
                  <c:v>29000</c:v>
                </c:pt>
                <c:pt idx="52">
                  <c:v>52000</c:v>
                </c:pt>
                <c:pt idx="53">
                  <c:v>45000</c:v>
                </c:pt>
                <c:pt idx="54">
                  <c:v>34000</c:v>
                </c:pt>
                <c:pt idx="55">
                  <c:v>33000</c:v>
                </c:pt>
                <c:pt idx="56">
                  <c:v>46000</c:v>
                </c:pt>
                <c:pt idx="57">
                  <c:v>38000</c:v>
                </c:pt>
                <c:pt idx="58">
                  <c:v>76000</c:v>
                </c:pt>
                <c:pt idx="59">
                  <c:v>35000</c:v>
                </c:pt>
                <c:pt idx="60">
                  <c:v>70000</c:v>
                </c:pt>
                <c:pt idx="61">
                  <c:v>37000</c:v>
                </c:pt>
                <c:pt idx="62">
                  <c:v>52000</c:v>
                </c:pt>
                <c:pt idx="63">
                  <c:v>48000</c:v>
                </c:pt>
                <c:pt idx="64">
                  <c:v>48000</c:v>
                </c:pt>
                <c:pt idx="65">
                  <c:v>47000</c:v>
                </c:pt>
                <c:pt idx="66">
                  <c:v>34000</c:v>
                </c:pt>
                <c:pt idx="67">
                  <c:v>54000</c:v>
                </c:pt>
                <c:pt idx="68">
                  <c:v>57000</c:v>
                </c:pt>
                <c:pt idx="69">
                  <c:v>50000</c:v>
                </c:pt>
                <c:pt idx="70">
                  <c:v>51000</c:v>
                </c:pt>
                <c:pt idx="71">
                  <c:v>57000</c:v>
                </c:pt>
                <c:pt idx="72">
                  <c:v>45000</c:v>
                </c:pt>
                <c:pt idx="73">
                  <c:v>58000</c:v>
                </c:pt>
                <c:pt idx="74">
                  <c:v>52000</c:v>
                </c:pt>
                <c:pt idx="75">
                  <c:v>56000</c:v>
                </c:pt>
                <c:pt idx="76">
                  <c:v>52000</c:v>
                </c:pt>
                <c:pt idx="77">
                  <c:v>54000</c:v>
                </c:pt>
                <c:pt idx="78">
                  <c:v>59000</c:v>
                </c:pt>
                <c:pt idx="79">
                  <c:v>58000</c:v>
                </c:pt>
                <c:pt idx="80">
                  <c:v>62000</c:v>
                </c:pt>
                <c:pt idx="81">
                  <c:v>56000</c:v>
                </c:pt>
                <c:pt idx="82">
                  <c:v>58000</c:v>
                </c:pt>
                <c:pt idx="83">
                  <c:v>61000</c:v>
                </c:pt>
                <c:pt idx="84">
                  <c:v>60000</c:v>
                </c:pt>
                <c:pt idx="85">
                  <c:v>50000</c:v>
                </c:pt>
                <c:pt idx="86">
                  <c:v>55000</c:v>
                </c:pt>
                <c:pt idx="87">
                  <c:v>47000</c:v>
                </c:pt>
                <c:pt idx="88">
                  <c:v>27000</c:v>
                </c:pt>
                <c:pt idx="89">
                  <c:v>43000</c:v>
                </c:pt>
                <c:pt idx="90">
                  <c:v>31000</c:v>
                </c:pt>
                <c:pt idx="91">
                  <c:v>60000</c:v>
                </c:pt>
                <c:pt idx="92">
                  <c:v>22000</c:v>
                </c:pt>
                <c:pt idx="93">
                  <c:v>44000</c:v>
                </c:pt>
                <c:pt idx="94">
                  <c:v>38000</c:v>
                </c:pt>
                <c:pt idx="95">
                  <c:v>27000</c:v>
                </c:pt>
                <c:pt idx="96">
                  <c:v>35000</c:v>
                </c:pt>
                <c:pt idx="97">
                  <c:v>32000</c:v>
                </c:pt>
                <c:pt idx="98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F-4720-B6EF-4EDDA886D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6452616"/>
        <c:axId val="616454664"/>
      </c:barChart>
      <c:catAx>
        <c:axId val="61645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54664"/>
        <c:crosses val="autoZero"/>
        <c:auto val="1"/>
        <c:lblAlgn val="ctr"/>
        <c:lblOffset val="100"/>
        <c:noMultiLvlLbl val="0"/>
      </c:catAx>
      <c:valAx>
        <c:axId val="61645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5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CO2, deforestazione e temperatura (valori normalizzati)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'Ex07'!$G$1</c:f>
              <c:strCache>
                <c:ptCount val="1"/>
                <c:pt idx="0">
                  <c:v>CO2_norm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'Ex07'!$F$2:$F$32</c:f>
              <c:numCache>
                <c:formatCode>General</c:formatCode>
                <c:ptCount val="3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</c:numCache>
            </c:numRef>
          </c:cat>
          <c:val>
            <c:numRef>
              <c:f>'Ex07'!$G$2:$G$32</c:f>
              <c:numCache>
                <c:formatCode>General</c:formatCode>
                <c:ptCount val="31"/>
                <c:pt idx="0">
                  <c:v>0</c:v>
                </c:pt>
                <c:pt idx="1">
                  <c:v>1.8181818181818112E-2</c:v>
                </c:pt>
                <c:pt idx="2">
                  <c:v>3.6363636363636542E-2</c:v>
                </c:pt>
                <c:pt idx="3">
                  <c:v>5.4545454545454654E-2</c:v>
                </c:pt>
                <c:pt idx="4">
                  <c:v>8.1818181818181984E-2</c:v>
                </c:pt>
                <c:pt idx="5">
                  <c:v>0.10909090909090899</c:v>
                </c:pt>
                <c:pt idx="6">
                  <c:v>0.13636363636363633</c:v>
                </c:pt>
                <c:pt idx="7">
                  <c:v>0.17272727272727287</c:v>
                </c:pt>
                <c:pt idx="8">
                  <c:v>0.19999999999999987</c:v>
                </c:pt>
                <c:pt idx="9">
                  <c:v>0.22727272727272721</c:v>
                </c:pt>
                <c:pt idx="10">
                  <c:v>0.26363636363636372</c:v>
                </c:pt>
                <c:pt idx="11">
                  <c:v>0.29090909090909073</c:v>
                </c:pt>
                <c:pt idx="12">
                  <c:v>0.32727272727272727</c:v>
                </c:pt>
                <c:pt idx="13">
                  <c:v>0.36363636363636354</c:v>
                </c:pt>
                <c:pt idx="14">
                  <c:v>0.40000000000000008</c:v>
                </c:pt>
                <c:pt idx="15">
                  <c:v>0.44545454545454549</c:v>
                </c:pt>
                <c:pt idx="16">
                  <c:v>0.49090909090909096</c:v>
                </c:pt>
                <c:pt idx="17">
                  <c:v>0.53636363636363638</c:v>
                </c:pt>
                <c:pt idx="18">
                  <c:v>0.57272727272727264</c:v>
                </c:pt>
                <c:pt idx="19">
                  <c:v>0.6</c:v>
                </c:pt>
                <c:pt idx="20">
                  <c:v>0.63636363636363613</c:v>
                </c:pt>
                <c:pt idx="21">
                  <c:v>0.67272727272727273</c:v>
                </c:pt>
                <c:pt idx="22">
                  <c:v>0.70909090909090888</c:v>
                </c:pt>
                <c:pt idx="23">
                  <c:v>0.74545454545454515</c:v>
                </c:pt>
                <c:pt idx="24">
                  <c:v>0.78181818181818175</c:v>
                </c:pt>
                <c:pt idx="25">
                  <c:v>0.8181818181818179</c:v>
                </c:pt>
                <c:pt idx="26">
                  <c:v>0.8545454545454545</c:v>
                </c:pt>
                <c:pt idx="27">
                  <c:v>0.89090909090909065</c:v>
                </c:pt>
                <c:pt idx="28">
                  <c:v>0.92727272727272692</c:v>
                </c:pt>
                <c:pt idx="29">
                  <c:v>0.96363636363636318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A5-4B2A-9D42-76F4C5AFE43C}"/>
            </c:ext>
          </c:extLst>
        </c:ser>
        <c:ser>
          <c:idx val="2"/>
          <c:order val="1"/>
          <c:tx>
            <c:strRef>
              <c:f>'Ex07'!$H$1</c:f>
              <c:strCache>
                <c:ptCount val="1"/>
                <c:pt idx="0">
                  <c:v>Def_norm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'Ex07'!$F$2:$F$32</c:f>
              <c:numCache>
                <c:formatCode>General</c:formatCode>
                <c:ptCount val="3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</c:numCache>
            </c:numRef>
          </c:cat>
          <c:val>
            <c:numRef>
              <c:f>'Ex07'!$H$2:$H$32</c:f>
              <c:numCache>
                <c:formatCode>General</c:formatCode>
                <c:ptCount val="31"/>
                <c:pt idx="0">
                  <c:v>1</c:v>
                </c:pt>
                <c:pt idx="1">
                  <c:v>0.93750000000000022</c:v>
                </c:pt>
                <c:pt idx="2">
                  <c:v>0.87499999999999989</c:v>
                </c:pt>
                <c:pt idx="3">
                  <c:v>0.84375</c:v>
                </c:pt>
                <c:pt idx="4">
                  <c:v>0.81250000000000011</c:v>
                </c:pt>
                <c:pt idx="5">
                  <c:v>0.78125000000000022</c:v>
                </c:pt>
                <c:pt idx="6">
                  <c:v>0.74999999999999978</c:v>
                </c:pt>
                <c:pt idx="7">
                  <c:v>0.71874999999999978</c:v>
                </c:pt>
                <c:pt idx="8">
                  <c:v>0.68749999999999989</c:v>
                </c:pt>
                <c:pt idx="9">
                  <c:v>0.65625</c:v>
                </c:pt>
                <c:pt idx="10">
                  <c:v>0.62500000000000011</c:v>
                </c:pt>
                <c:pt idx="11">
                  <c:v>0.59374999999999967</c:v>
                </c:pt>
                <c:pt idx="12">
                  <c:v>0.56249999999999978</c:v>
                </c:pt>
                <c:pt idx="13">
                  <c:v>0.53124999999999989</c:v>
                </c:pt>
                <c:pt idx="14">
                  <c:v>0.5</c:v>
                </c:pt>
                <c:pt idx="15">
                  <c:v>0.46875000000000011</c:v>
                </c:pt>
                <c:pt idx="16">
                  <c:v>0.43749999999999967</c:v>
                </c:pt>
                <c:pt idx="17">
                  <c:v>0.40624999999999978</c:v>
                </c:pt>
                <c:pt idx="18">
                  <c:v>0.37499999999999989</c:v>
                </c:pt>
                <c:pt idx="19">
                  <c:v>0.34374999999999994</c:v>
                </c:pt>
                <c:pt idx="20">
                  <c:v>0.31250000000000006</c:v>
                </c:pt>
                <c:pt idx="21">
                  <c:v>0.28124999999999961</c:v>
                </c:pt>
                <c:pt idx="22">
                  <c:v>0.24999999999999972</c:v>
                </c:pt>
                <c:pt idx="23">
                  <c:v>0.21874999999999983</c:v>
                </c:pt>
                <c:pt idx="24">
                  <c:v>0.18749999999999994</c:v>
                </c:pt>
                <c:pt idx="25">
                  <c:v>0.15625000000000003</c:v>
                </c:pt>
                <c:pt idx="26">
                  <c:v>0.12499999999999958</c:v>
                </c:pt>
                <c:pt idx="27">
                  <c:v>9.3749999999999695E-2</c:v>
                </c:pt>
                <c:pt idx="28">
                  <c:v>6.2499999999999792E-2</c:v>
                </c:pt>
                <c:pt idx="29">
                  <c:v>3.1249999999999896E-2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A5-4B2A-9D42-76F4C5AFE43C}"/>
            </c:ext>
          </c:extLst>
        </c:ser>
        <c:ser>
          <c:idx val="3"/>
          <c:order val="2"/>
          <c:tx>
            <c:strRef>
              <c:f>'Ex07'!$I$1</c:f>
              <c:strCache>
                <c:ptCount val="1"/>
                <c:pt idx="0">
                  <c:v>Temp_norm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'Ex07'!$F$2:$F$32</c:f>
              <c:numCache>
                <c:formatCode>General</c:formatCode>
                <c:ptCount val="3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</c:numCache>
            </c:numRef>
          </c:cat>
          <c:val>
            <c:numRef>
              <c:f>'Ex07'!$I$2:$I$32</c:f>
              <c:numCache>
                <c:formatCode>General</c:formatCode>
                <c:ptCount val="31"/>
                <c:pt idx="0">
                  <c:v>0</c:v>
                </c:pt>
                <c:pt idx="1">
                  <c:v>3.6363636363635543E-2</c:v>
                </c:pt>
                <c:pt idx="2">
                  <c:v>7.272727272727432E-2</c:v>
                </c:pt>
                <c:pt idx="3">
                  <c:v>9.0909090909092077E-2</c:v>
                </c:pt>
                <c:pt idx="4">
                  <c:v>0.12727272727272762</c:v>
                </c:pt>
                <c:pt idx="5">
                  <c:v>0.16363636363636316</c:v>
                </c:pt>
                <c:pt idx="6">
                  <c:v>0.18181818181818094</c:v>
                </c:pt>
                <c:pt idx="7">
                  <c:v>0.2181818181818197</c:v>
                </c:pt>
                <c:pt idx="8">
                  <c:v>0.25454545454545524</c:v>
                </c:pt>
                <c:pt idx="9">
                  <c:v>0.27272727272727304</c:v>
                </c:pt>
                <c:pt idx="10">
                  <c:v>0.30909090909090858</c:v>
                </c:pt>
                <c:pt idx="11">
                  <c:v>0.32727272727272633</c:v>
                </c:pt>
                <c:pt idx="12">
                  <c:v>0.36363636363636509</c:v>
                </c:pt>
                <c:pt idx="13">
                  <c:v>0.40000000000000063</c:v>
                </c:pt>
                <c:pt idx="14">
                  <c:v>0.43636363636363618</c:v>
                </c:pt>
                <c:pt idx="15">
                  <c:v>0.47272727272727172</c:v>
                </c:pt>
                <c:pt idx="16">
                  <c:v>0.50909090909091048</c:v>
                </c:pt>
                <c:pt idx="17">
                  <c:v>0.54545454545454608</c:v>
                </c:pt>
                <c:pt idx="18">
                  <c:v>0.58181818181818157</c:v>
                </c:pt>
                <c:pt idx="19">
                  <c:v>0.59999999999999931</c:v>
                </c:pt>
                <c:pt idx="20">
                  <c:v>0.63636363636363491</c:v>
                </c:pt>
                <c:pt idx="21">
                  <c:v>0.67272727272727362</c:v>
                </c:pt>
                <c:pt idx="22">
                  <c:v>0.70909090909090922</c:v>
                </c:pt>
                <c:pt idx="23">
                  <c:v>0.7454545454545447</c:v>
                </c:pt>
                <c:pt idx="24">
                  <c:v>0.7818181818181803</c:v>
                </c:pt>
                <c:pt idx="25">
                  <c:v>0.81818181818181901</c:v>
                </c:pt>
                <c:pt idx="26">
                  <c:v>0.85454545454545461</c:v>
                </c:pt>
                <c:pt idx="27">
                  <c:v>0.8909090909090901</c:v>
                </c:pt>
                <c:pt idx="28">
                  <c:v>0.92727272727272569</c:v>
                </c:pt>
                <c:pt idx="29">
                  <c:v>0.96363636363636451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A5-4B2A-9D42-76F4C5AFE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57832"/>
        <c:axId val="39581192"/>
      </c:lineChart>
      <c:catAx>
        <c:axId val="76557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1192"/>
        <c:crosses val="autoZero"/>
        <c:auto val="1"/>
        <c:lblAlgn val="ctr"/>
        <c:lblOffset val="100"/>
        <c:noMultiLvlLbl val="0"/>
      </c:catAx>
      <c:valAx>
        <c:axId val="3958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57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76200</xdr:rowOff>
    </xdr:from>
    <xdr:to>
      <xdr:col>17</xdr:col>
      <xdr:colOff>571500</xdr:colOff>
      <xdr:row>39</xdr:row>
      <xdr:rowOff>180975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A7F415C-E2D2-2DAA-C9B9-17DD6A5F8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0</xdr:row>
      <xdr:rowOff>0</xdr:rowOff>
    </xdr:from>
    <xdr:to>
      <xdr:col>16</xdr:col>
      <xdr:colOff>342900</xdr:colOff>
      <xdr:row>14</xdr:row>
      <xdr:rowOff>76200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947F088B-B16A-F097-B183-F82540B5C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9.48386828704" createdVersion="8" refreshedVersion="8" minRefreshableVersion="3" recordCount="99" xr:uid="{4E67E93B-4120-46DA-A947-7A112301D044}">
  <cacheSource type="worksheet">
    <worksheetSource ref="A1:I100" sheet="Ex05"/>
  </cacheSource>
  <cacheFields count="9">
    <cacheField name="Nome" numFmtId="0">
      <sharedItems/>
    </cacheField>
    <cacheField name="Cognome" numFmtId="0">
      <sharedItems/>
    </cacheField>
    <cacheField name="Data di nascita" numFmtId="14">
      <sharedItems containsSemiMixedTypes="0" containsNonDate="0" containsDate="1" containsString="0" minDate="1976-04-04T00:00:00" maxDate="1999-01-26T00:00:00"/>
    </cacheField>
    <cacheField name="Mansione" numFmtId="0">
      <sharedItems count="99">
        <s v="Responsabile IT"/>
        <s v="Sviluppatore Software"/>
        <s v="HR Specialist"/>
        <s v="Direttore Operativo"/>
        <s v="Marketing Specialist"/>
        <s v="Analista Dati"/>
        <s v="Graphic Designer"/>
        <s v="Project Manager"/>
        <s v="Account Manager"/>
        <s v="Responsabile Vendite"/>
        <s v="Social Media Manager"/>
        <s v="Sistemista"/>
        <s v="UX Designer"/>
        <s v="Direttore Finanziario"/>
        <s v="Assistente Amministrativo"/>
        <s v="Consulente IT"/>
        <s v="Recruiter"/>
        <s v="Responsabile Produzione"/>
        <s v="Content Editor"/>
        <s v="Ingegnere Gestionale"/>
        <s v="Customer Care Manager"/>
        <s v="Quality Manager"/>
        <s v="Amministrazione"/>
        <s v="Responsabile Logistica"/>
        <s v="Junior Analyst"/>
        <s v="DevOps Engineer"/>
        <s v="PR Manager"/>
        <s v="Direttore Commerciale"/>
        <s v="Segreteria"/>
        <s v="Product Manager"/>
        <s v="Legal Specialist"/>
        <s v="Responsabile Acquisti"/>
        <s v="Event Manager"/>
        <s v="Network Engineer"/>
        <s v="Formazione HR"/>
        <s v="Responsabile Sicurezza"/>
        <s v="Assistente Marketing"/>
        <s v="Ingegnere Meccanico"/>
        <s v="Controller"/>
        <s v="Business Analyst"/>
        <s v="Junior HR"/>
        <s v="Responsabile Qualità"/>
        <s v="Copywriter"/>
        <s v="Sales Engineer"/>
        <s v="Office Manager"/>
        <s v="Stagista IT"/>
        <s v="Direttrice HR"/>
        <s v="Responsabile CRM"/>
        <s v="Data Analyst"/>
        <s v="Responsabile Manutenzione"/>
        <s v="Assistente IT"/>
        <s v="CEO"/>
        <s v="Ingegnere Software"/>
        <s v="Payroll Specialist"/>
        <s v="Responsabile Magazzino"/>
        <s v="Digital Marketing Specialist"/>
        <s v="IT Support Specialist"/>
        <s v="Assistente HR"/>
        <s v="Cloud Engineer"/>
        <s v="Amministrazione Fornitori"/>
        <s v="Responsabile Tecnico"/>
        <s v="Communication Specialist"/>
        <s v="Business Developer"/>
        <s v="Responsabile Infrastrutture"/>
        <s v="Junior Controller"/>
        <s v="Plant Manager"/>
        <s v="E-commerce Specialist"/>
        <s v="Responsabile Customer Service"/>
        <s v="Compliance Officer"/>
        <s v="Junior Developer"/>
        <s v="Supply Chain Planner"/>
        <s v="Responsabile Pianificazione"/>
        <s v="Back Office Commerciale"/>
        <s v="Operations Director"/>
        <s v="Data Visualization Specialist"/>
        <s v="Ingegnere Elettronico"/>
        <s v="Assistente Direzione"/>
        <s v="Product Owner"/>
        <s v="HR Business Partner"/>
        <s v="Responsabile Turni"/>
        <s v="CRM Specialist"/>
        <s v="Responsabile Facility"/>
        <s v="Brand Manager"/>
        <s v="Chief Operations Officer"/>
        <s v="Talent Acquisition Junior"/>
        <s v="Ingegnere di Processo"/>
        <s v="Internal Auditor"/>
        <s v="Responsabile Sistemi Informativi"/>
        <s v="Responsabile Help Desk"/>
        <s v="Marketing Analyst"/>
        <s v="Ingegnere Industriale"/>
        <s v="HR Administration"/>
        <s v="Key Account Manager"/>
        <s v="Business Intelligence Analyst"/>
        <s v="Responsabile Controllo Qualità"/>
        <s v="Training Specialist"/>
        <s v="Solution Architect"/>
        <s v="Ufficio Gare"/>
        <s v="Responsabile Pianificazione Finanziaria"/>
      </sharedItems>
    </cacheField>
    <cacheField name="Data di assunzione" numFmtId="14">
      <sharedItems containsSemiMixedTypes="0" containsNonDate="0" containsDate="1" containsString="0" minDate="2005-01-01T00:00:00" maxDate="2023-06-02T00:00:00"/>
    </cacheField>
    <cacheField name="Stipendio annuo" numFmtId="0">
      <sharedItems containsSemiMixedTypes="0" containsString="0" containsNumber="1" containsInteger="1" minValue="22000" maxValue="95000"/>
    </cacheField>
    <cacheField name="Eta'" numFmtId="0">
      <sharedItems containsSemiMixedTypes="0" containsString="0" containsNumber="1" containsInteger="1" minValue="27" maxValue="50"/>
    </cacheField>
    <cacheField name="Anzianita'" numFmtId="1">
      <sharedItems containsSemiMixedTypes="0" containsString="0" containsNumber="1" containsInteger="1" minValue="3" maxValue="21"/>
    </cacheField>
    <cacheField name="Bonus annuale di anzianita'" numFmtId="0">
      <sharedItems containsSemiMixedTypes="0" containsString="0" containsNumber="1" containsInteger="1" minValue="0" maxValue="1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Marco"/>
    <s v="Rossi"/>
    <d v="1985-03-12T00:00:00"/>
    <x v="0"/>
    <d v="2015-06-01T00:00:00"/>
    <n v="52000"/>
    <n v="41"/>
    <n v="11"/>
    <n v="5200"/>
  </r>
  <r>
    <s v="Luca"/>
    <s v="Bianchi"/>
    <d v="1990-07-22T00:00:00"/>
    <x v="1"/>
    <d v="2018-09-15T00:00:00"/>
    <n v="38000"/>
    <n v="36"/>
    <n v="8"/>
    <n v="1900"/>
  </r>
  <r>
    <s v="Giulia"/>
    <s v="Verdi"/>
    <d v="1992-01-10T00:00:00"/>
    <x v="2"/>
    <d v="2019-02-01T00:00:00"/>
    <n v="36000"/>
    <n v="34"/>
    <n v="7"/>
    <n v="1800"/>
  </r>
  <r>
    <s v="Francesco"/>
    <s v="Esposito"/>
    <d v="1980-11-05T00:00:00"/>
    <x v="3"/>
    <d v="2010-01-10T00:00:00"/>
    <n v="75000"/>
    <n v="46"/>
    <n v="16"/>
    <n v="11250"/>
  </r>
  <r>
    <s v="Anna"/>
    <s v="Romano"/>
    <d v="1995-04-18T00:00:00"/>
    <x v="4"/>
    <d v="2021-03-01T00:00:00"/>
    <n v="33000"/>
    <n v="31"/>
    <n v="5"/>
    <n v="1650"/>
  </r>
  <r>
    <s v="Paolo"/>
    <s v="Colombo"/>
    <d v="1988-09-30T00:00:00"/>
    <x v="5"/>
    <d v="2017-05-15T00:00:00"/>
    <n v="42000"/>
    <n v="38"/>
    <n v="9"/>
    <n v="2100"/>
  </r>
  <r>
    <s v="Sara"/>
    <s v="Ricci"/>
    <d v="1993-06-25T00:00:00"/>
    <x v="6"/>
    <d v="2020-02-10T00:00:00"/>
    <n v="32000"/>
    <n v="33"/>
    <n v="6"/>
    <n v="1600"/>
  </r>
  <r>
    <s v="Davide"/>
    <s v="Marino"/>
    <d v="1986-12-14T00:00:00"/>
    <x v="7"/>
    <d v="2016-04-01T00:00:00"/>
    <n v="48000"/>
    <n v="40"/>
    <n v="10"/>
    <n v="4800"/>
  </r>
  <r>
    <s v="Elena"/>
    <s v="Greco"/>
    <d v="1991-08-09T00:00:00"/>
    <x v="8"/>
    <d v="2019-07-01T00:00:00"/>
    <n v="40000"/>
    <n v="35"/>
    <n v="7"/>
    <n v="2000"/>
  </r>
  <r>
    <s v="Andrea"/>
    <s v="De Luca"/>
    <d v="1984-02-20T00:00:00"/>
    <x v="9"/>
    <d v="2013-03-15T00:00:00"/>
    <n v="55000"/>
    <n v="42"/>
    <n v="13"/>
    <n v="5500"/>
  </r>
  <r>
    <s v="Marta"/>
    <s v="Giordano"/>
    <d v="1996-10-03T00:00:00"/>
    <x v="10"/>
    <d v="2021-09-01T00:00:00"/>
    <n v="31000"/>
    <n v="30"/>
    <n v="5"/>
    <n v="1550"/>
  </r>
  <r>
    <s v="Simone"/>
    <s v="Conti"/>
    <d v="1987-05-27T00:00:00"/>
    <x v="11"/>
    <d v="2015-11-01T00:00:00"/>
    <n v="43000"/>
    <n v="39"/>
    <n v="11"/>
    <n v="4300"/>
  </r>
  <r>
    <s v="Chiara"/>
    <s v="Ferrari"/>
    <d v="1994-01-16T00:00:00"/>
    <x v="12"/>
    <d v="2020-06-01T00:00:00"/>
    <n v="35000"/>
    <n v="32"/>
    <n v="6"/>
    <n v="1750"/>
  </r>
  <r>
    <s v="Alessandro"/>
    <s v="Moretti"/>
    <d v="1982-07-08T00:00:00"/>
    <x v="13"/>
    <d v="2009-01-01T00:00:00"/>
    <n v="80000"/>
    <n v="44"/>
    <n v="17"/>
    <n v="12000"/>
  </r>
  <r>
    <s v="Federica"/>
    <s v="Barbieri"/>
    <d v="1997-11-29T00:00:00"/>
    <x v="14"/>
    <d v="2022-02-01T00:00:00"/>
    <n v="28000"/>
    <n v="29"/>
    <n v="4"/>
    <n v="0"/>
  </r>
  <r>
    <s v="Matteo"/>
    <s v="Rinaldi"/>
    <d v="1989-03-04T00:00:00"/>
    <x v="15"/>
    <d v="2018-10-01T00:00:00"/>
    <n v="46000"/>
    <n v="37"/>
    <n v="8"/>
    <n v="2300"/>
  </r>
  <r>
    <s v="Valentina"/>
    <s v="Galli"/>
    <d v="1992-12-21T00:00:00"/>
    <x v="16"/>
    <d v="2019-05-01T00:00:00"/>
    <n v="34000"/>
    <n v="34"/>
    <n v="7"/>
    <n v="1700"/>
  </r>
  <r>
    <s v="Stefano"/>
    <s v="Martini"/>
    <d v="1978-06-11T00:00:00"/>
    <x v="17"/>
    <d v="2008-04-01T00:00:00"/>
    <n v="62000"/>
    <n v="48"/>
    <n v="18"/>
    <n v="9300"/>
  </r>
  <r>
    <s v="Ilaria"/>
    <s v="Testa"/>
    <d v="1995-09-17T00:00:00"/>
    <x v="18"/>
    <d v="2021-01-15T00:00:00"/>
    <n v="30000"/>
    <n v="31"/>
    <n v="5"/>
    <n v="1500"/>
  </r>
  <r>
    <s v="Giorgio"/>
    <s v="Caruso"/>
    <d v="1983-04-26T00:00:00"/>
    <x v="19"/>
    <d v="2012-09-01T00:00:00"/>
    <n v="50000"/>
    <n v="43"/>
    <n v="14"/>
    <n v="5000"/>
  </r>
  <r>
    <s v="Laura"/>
    <s v="Serra"/>
    <d v="1990-02-13T00:00:00"/>
    <x v="20"/>
    <d v="2017-06-01T00:00:00"/>
    <n v="39000"/>
    <n v="36"/>
    <n v="9"/>
    <n v="1950"/>
  </r>
  <r>
    <s v="Nicola"/>
    <s v="Fabbri"/>
    <d v="1986-08-01T00:00:00"/>
    <x v="21"/>
    <d v="2014-11-01T00:00:00"/>
    <n v="47000"/>
    <n v="40"/>
    <n v="12"/>
    <n v="4700"/>
  </r>
  <r>
    <s v="Roberta"/>
    <s v="Leone"/>
    <d v="1993-05-09T00:00:00"/>
    <x v="22"/>
    <d v="2020-03-01T00:00:00"/>
    <n v="32000"/>
    <n v="33"/>
    <n v="6"/>
    <n v="1600"/>
  </r>
  <r>
    <s v="Fabio"/>
    <s v="Longo"/>
    <d v="1981-10-30T00:00:00"/>
    <x v="23"/>
    <d v="2011-07-01T00:00:00"/>
    <n v="56000"/>
    <n v="45"/>
    <n v="15"/>
    <n v="8400"/>
  </r>
  <r>
    <s v="Silvia"/>
    <s v="Pellegrini"/>
    <d v="1996-07-14T00:00:00"/>
    <x v="24"/>
    <d v="2022-01-10T00:00:00"/>
    <n v="29000"/>
    <n v="30"/>
    <n v="4"/>
    <n v="0"/>
  </r>
  <r>
    <s v="Daniele"/>
    <s v="Fontana"/>
    <d v="1988-01-23T00:00:00"/>
    <x v="25"/>
    <d v="2017-04-01T00:00:00"/>
    <n v="48000"/>
    <n v="38"/>
    <n v="9"/>
    <n v="2400"/>
  </r>
  <r>
    <s v="Alessia"/>
    <s v="Costa"/>
    <d v="1994-04-02T00:00:00"/>
    <x v="26"/>
    <d v="2020-09-01T00:00:00"/>
    <n v="37000"/>
    <n v="32"/>
    <n v="6"/>
    <n v="1850"/>
  </r>
  <r>
    <s v="Roberto"/>
    <s v="Monti"/>
    <d v="1979-12-19T00:00:00"/>
    <x v="27"/>
    <d v="2007-02-01T00:00:00"/>
    <n v="78000"/>
    <n v="47"/>
    <n v="19"/>
    <n v="11700"/>
  </r>
  <r>
    <s v="Beatrice"/>
    <s v="Palumbo"/>
    <d v="1997-03-27T00:00:00"/>
    <x v="28"/>
    <d v="2022-06-01T00:00:00"/>
    <n v="27000"/>
    <n v="29"/>
    <n v="4"/>
    <n v="0"/>
  </r>
  <r>
    <s v="Enrico"/>
    <s v="Santoro"/>
    <d v="1985-06-06T00:00:00"/>
    <x v="29"/>
    <d v="2015-09-01T00:00:00"/>
    <n v="52000"/>
    <n v="41"/>
    <n v="11"/>
    <n v="5200"/>
  </r>
  <r>
    <s v="Claudia"/>
    <s v="Fiore"/>
    <d v="1991-11-12T00:00:00"/>
    <x v="30"/>
    <d v="2018-01-15T00:00:00"/>
    <n v="45000"/>
    <n v="35"/>
    <n v="8"/>
    <n v="2250"/>
  </r>
  <r>
    <s v="Massimo"/>
    <s v="De Santis"/>
    <d v="1983-02-08T00:00:00"/>
    <x v="31"/>
    <d v="2012-05-01T00:00:00"/>
    <n v="54000"/>
    <n v="43"/>
    <n v="14"/>
    <n v="5400"/>
  </r>
  <r>
    <s v="Irene"/>
    <s v="Messina"/>
    <d v="1995-01-30T00:00:00"/>
    <x v="32"/>
    <d v="2021-04-01T00:00:00"/>
    <n v="33000"/>
    <n v="31"/>
    <n v="5"/>
    <n v="1650"/>
  </r>
  <r>
    <s v="Pietro"/>
    <s v="Bellini"/>
    <d v="1987-09-18T00:00:00"/>
    <x v="33"/>
    <d v="2016-08-01T00:00:00"/>
    <n v="46000"/>
    <n v="39"/>
    <n v="10"/>
    <n v="4600"/>
  </r>
  <r>
    <s v="Francesca"/>
    <s v="Amato"/>
    <d v="1992-06-03T00:00:00"/>
    <x v="34"/>
    <d v="2019-10-01T00:00:00"/>
    <n v="36000"/>
    <n v="34"/>
    <n v="7"/>
    <n v="1800"/>
  </r>
  <r>
    <s v="Luigi"/>
    <s v="Neri"/>
    <d v="1980-03-15T00:00:00"/>
    <x v="35"/>
    <d v="2010-06-01T00:00:00"/>
    <n v="58000"/>
    <n v="46"/>
    <n v="16"/>
    <n v="8700"/>
  </r>
  <r>
    <s v="Serena"/>
    <s v="Vitali"/>
    <d v="1996-12-07T00:00:00"/>
    <x v="36"/>
    <d v="2022-03-01T00:00:00"/>
    <n v="28000"/>
    <n v="30"/>
    <n v="4"/>
    <n v="0"/>
  </r>
  <r>
    <s v="Carlo"/>
    <s v="Parisi"/>
    <d v="1984-05-19T00:00:00"/>
    <x v="37"/>
    <d v="2013-09-01T00:00:00"/>
    <n v="51000"/>
    <n v="42"/>
    <n v="13"/>
    <n v="5100"/>
  </r>
  <r>
    <s v="Monica"/>
    <s v="Orlando"/>
    <d v="1993-08-26T00:00:00"/>
    <x v="38"/>
    <d v="2020-01-01T00:00:00"/>
    <n v="41000"/>
    <n v="33"/>
    <n v="6"/>
    <n v="2050"/>
  </r>
  <r>
    <s v="Riccardo"/>
    <s v="Basile"/>
    <d v="1989-11-02T00:00:00"/>
    <x v="39"/>
    <d v="2017-07-01T00:00:00"/>
    <n v="44000"/>
    <n v="37"/>
    <n v="9"/>
    <n v="2200"/>
  </r>
  <r>
    <s v="Giada"/>
    <s v="Ruggiero"/>
    <d v="1997-02-14T00:00:00"/>
    <x v="40"/>
    <d v="2022-05-01T00:00:00"/>
    <n v="29000"/>
    <n v="29"/>
    <n v="4"/>
    <n v="0"/>
  </r>
  <r>
    <s v="Alberto"/>
    <s v="Pagani"/>
    <d v="1981-06-28T00:00:00"/>
    <x v="41"/>
    <d v="2011-10-01T00:00:00"/>
    <n v="56000"/>
    <n v="45"/>
    <n v="15"/>
    <n v="8400"/>
  </r>
  <r>
    <s v="Noemi"/>
    <s v="Farina"/>
    <d v="1994-09-05T00:00:00"/>
    <x v="42"/>
    <d v="2020-11-01T00:00:00"/>
    <n v="32000"/>
    <n v="32"/>
    <n v="6"/>
    <n v="1600"/>
  </r>
  <r>
    <s v="Vincenzo"/>
    <s v="Torrisi"/>
    <d v="1986-01-09T00:00:00"/>
    <x v="43"/>
    <d v="2015-02-01T00:00:00"/>
    <n v="47000"/>
    <n v="40"/>
    <n v="11"/>
    <n v="4700"/>
  </r>
  <r>
    <s v="Elisa"/>
    <s v="Marchetti"/>
    <d v="1992-04-11T00:00:00"/>
    <x v="44"/>
    <d v="2018-09-01T00:00:00"/>
    <n v="38000"/>
    <n v="34"/>
    <n v="8"/>
    <n v="1900"/>
  </r>
  <r>
    <s v="Tommaso"/>
    <s v="Grassi"/>
    <d v="1998-07-20T00:00:00"/>
    <x v="45"/>
    <d v="2023-03-01T00:00:00"/>
    <n v="22000"/>
    <n v="28"/>
    <n v="3"/>
    <n v="0"/>
  </r>
  <r>
    <s v="Patrizia"/>
    <s v="Luciani"/>
    <d v="1977-10-01T00:00:00"/>
    <x v="46"/>
    <d v="2006-01-01T00:00:00"/>
    <n v="72000"/>
    <n v="49"/>
    <n v="20"/>
    <n v="0"/>
  </r>
  <r>
    <s v="Emanuele"/>
    <s v="Valenti"/>
    <d v="1985-12-22T00:00:00"/>
    <x v="47"/>
    <d v="2014-06-01T00:00:00"/>
    <n v="50000"/>
    <n v="41"/>
    <n v="12"/>
    <n v="5000"/>
  </r>
  <r>
    <s v="Martina"/>
    <s v="Sala"/>
    <d v="1996-03-08T00:00:00"/>
    <x v="48"/>
    <d v="2021-10-01T00:00:00"/>
    <n v="35000"/>
    <n v="30"/>
    <n v="5"/>
    <n v="1750"/>
  </r>
  <r>
    <s v="Sergio"/>
    <s v="Mariani"/>
    <d v="1982-08-16T00:00:00"/>
    <x v="49"/>
    <d v="2012-03-01T00:00:00"/>
    <n v="54000"/>
    <n v="44"/>
    <n v="14"/>
    <n v="5400"/>
  </r>
  <r>
    <s v="Alice"/>
    <s v="Donati"/>
    <d v="1999-01-25T00:00:00"/>
    <x v="50"/>
    <d v="2023-06-01T00:00:00"/>
    <n v="24000"/>
    <n v="27"/>
    <n v="3"/>
    <n v="0"/>
  </r>
  <r>
    <s v="Giovanni"/>
    <s v="Bruno"/>
    <d v="1976-04-04T00:00:00"/>
    <x v="51"/>
    <d v="2005-01-01T00:00:00"/>
    <n v="95000"/>
    <n v="50"/>
    <n v="21"/>
    <n v="0"/>
  </r>
  <r>
    <s v="Andrea"/>
    <s v="Pozzi"/>
    <d v="1987-01-14T00:00:00"/>
    <x v="52"/>
    <d v="2016-02-01T00:00:00"/>
    <n v="47000"/>
    <n v="39"/>
    <n v="10"/>
    <n v="4700"/>
  </r>
  <r>
    <s v="Lucia"/>
    <s v="Mancini"/>
    <d v="1993-04-22T00:00:00"/>
    <x v="53"/>
    <d v="2020-05-01T00:00:00"/>
    <n v="35000"/>
    <n v="33"/>
    <n v="6"/>
    <n v="1750"/>
  </r>
  <r>
    <s v="Davide"/>
    <s v="Forti"/>
    <d v="1984-09-10T00:00:00"/>
    <x v="54"/>
    <d v="2013-06-01T00:00:00"/>
    <n v="52000"/>
    <n v="42"/>
    <n v="13"/>
    <n v="5200"/>
  </r>
  <r>
    <s v="Elisa"/>
    <s v="Riva"/>
    <d v="1995-11-03T00:00:00"/>
    <x v="55"/>
    <d v="2021-04-01T00:00:00"/>
    <n v="33000"/>
    <n v="31"/>
    <n v="5"/>
    <n v="1650"/>
  </r>
  <r>
    <s v="Matteo"/>
    <s v="Benedetti"/>
    <d v="1989-02-27T00:00:00"/>
    <x v="56"/>
    <d v="2017-09-01T00:00:00"/>
    <n v="38000"/>
    <n v="37"/>
    <n v="9"/>
    <n v="1900"/>
  </r>
  <r>
    <s v="Silvia"/>
    <s v="Guidi"/>
    <d v="1997-06-18T00:00:00"/>
    <x v="57"/>
    <d v="2022-07-01T00:00:00"/>
    <n v="29000"/>
    <n v="29"/>
    <n v="4"/>
    <n v="0"/>
  </r>
  <r>
    <s v="Alessio"/>
    <s v="Pellegrino"/>
    <d v="1986-12-05T00:00:00"/>
    <x v="58"/>
    <d v="2015-10-01T00:00:00"/>
    <n v="49000"/>
    <n v="40"/>
    <n v="11"/>
    <n v="4900"/>
  </r>
  <r>
    <s v="Roberta"/>
    <s v="Negri"/>
    <d v="1992-03-09T00:00:00"/>
    <x v="59"/>
    <d v="2019-11-01T00:00:00"/>
    <n v="34000"/>
    <n v="34"/>
    <n v="7"/>
    <n v="1700"/>
  </r>
  <r>
    <s v="Gabriele"/>
    <s v="Silvestri"/>
    <d v="1981-07-21T00:00:00"/>
    <x v="60"/>
    <d v="2011-01-15T00:00:00"/>
    <n v="60000"/>
    <n v="45"/>
    <n v="15"/>
    <n v="9000"/>
  </r>
  <r>
    <s v="Valeria"/>
    <s v="Cattaneo"/>
    <d v="1994-08-30T00:00:00"/>
    <x v="61"/>
    <d v="2020-02-01T00:00:00"/>
    <n v="36000"/>
    <n v="32"/>
    <n v="6"/>
    <n v="1800"/>
  </r>
  <r>
    <s v="Riccardo"/>
    <s v="Villa"/>
    <d v="1988-05-16T00:00:00"/>
    <x v="62"/>
    <d v="2016-09-01T00:00:00"/>
    <n v="45000"/>
    <n v="38"/>
    <n v="10"/>
    <n v="4500"/>
  </r>
  <r>
    <s v="Federico"/>
    <s v="Piras"/>
    <d v="1983-10-02T00:00:00"/>
    <x v="63"/>
    <d v="2012-04-01T00:00:00"/>
    <n v="58000"/>
    <n v="43"/>
    <n v="14"/>
    <n v="5800"/>
  </r>
  <r>
    <s v="Giulia"/>
    <s v="Marchegiani"/>
    <d v="1996-01-25T00:00:00"/>
    <x v="64"/>
    <d v="2022-01-10T00:00:00"/>
    <n v="30000"/>
    <n v="30"/>
    <n v="4"/>
    <n v="0"/>
  </r>
  <r>
    <s v="Stefano"/>
    <s v="Moro"/>
    <d v="1979-06-07T00:00:00"/>
    <x v="65"/>
    <d v="2009-03-01T00:00:00"/>
    <n v="70000"/>
    <n v="47"/>
    <n v="17"/>
    <n v="10500"/>
  </r>
  <r>
    <s v="Chiara"/>
    <s v="Pagnotta"/>
    <d v="1995-09-19T00:00:00"/>
    <x v="66"/>
    <d v="2021-06-01T00:00:00"/>
    <n v="34000"/>
    <n v="31"/>
    <n v="5"/>
    <n v="1700"/>
  </r>
  <r>
    <s v="Antonio"/>
    <s v="Lombardi"/>
    <d v="1985-11-28T00:00:00"/>
    <x v="67"/>
    <d v="2014-08-01T00:00:00"/>
    <n v="51000"/>
    <n v="41"/>
    <n v="12"/>
    <n v="5100"/>
  </r>
  <r>
    <s v="Francesca"/>
    <s v="Pieri"/>
    <d v="1991-02-11T00:00:00"/>
    <x v="68"/>
    <d v="2018-10-01T00:00:00"/>
    <n v="46000"/>
    <n v="35"/>
    <n v="8"/>
    <n v="2300"/>
  </r>
  <r>
    <s v="Niccolò"/>
    <s v="Bartoli"/>
    <d v="1998-04-06T00:00:00"/>
    <x v="69"/>
    <d v="2023-02-01T00:00:00"/>
    <n v="28000"/>
    <n v="28"/>
    <n v="3"/>
    <n v="0"/>
  </r>
  <r>
    <s v="Laura"/>
    <s v="De Marchi"/>
    <d v="1987-07-13T00:00:00"/>
    <x v="70"/>
    <d v="2016-05-01T00:00:00"/>
    <n v="44000"/>
    <n v="39"/>
    <n v="10"/>
    <n v="4400"/>
  </r>
  <r>
    <s v="Michele"/>
    <s v="Zanetti"/>
    <d v="1982-01-30T00:00:00"/>
    <x v="71"/>
    <d v="2011-11-01T00:00:00"/>
    <n v="59000"/>
    <n v="44"/>
    <n v="15"/>
    <n v="8850"/>
  </r>
  <r>
    <s v="Elena"/>
    <s v="Sartori"/>
    <d v="1993-10-08T00:00:00"/>
    <x v="72"/>
    <d v="2019-03-01T00:00:00"/>
    <n v="35000"/>
    <n v="33"/>
    <n v="7"/>
    <n v="1750"/>
  </r>
  <r>
    <s v="Paolo"/>
    <s v="Ferretti"/>
    <d v="1978-12-17T00:00:00"/>
    <x v="73"/>
    <d v="2008-01-01T00:00:00"/>
    <n v="76000"/>
    <n v="48"/>
    <n v="18"/>
    <n v="11400"/>
  </r>
  <r>
    <s v="Martina"/>
    <s v="Cecconi"/>
    <d v="1996-05-26T00:00:00"/>
    <x v="74"/>
    <d v="2021-09-01T00:00:00"/>
    <n v="36000"/>
    <n v="30"/>
    <n v="5"/>
    <n v="1800"/>
  </r>
  <r>
    <s v="Roberto"/>
    <s v="Gentili"/>
    <d v="1984-03-04T00:00:00"/>
    <x v="75"/>
    <d v="2013-02-01T00:00:00"/>
    <n v="52000"/>
    <n v="42"/>
    <n v="13"/>
    <n v="5200"/>
  </r>
  <r>
    <s v="Irene"/>
    <s v="Locatelli"/>
    <d v="1997-08-12T00:00:00"/>
    <x v="76"/>
    <d v="2022-04-01T00:00:00"/>
    <n v="30000"/>
    <n v="29"/>
    <n v="4"/>
    <n v="0"/>
  </r>
  <r>
    <s v="Lorenzo"/>
    <s v="Battaglia"/>
    <d v="1989-09-29T00:00:00"/>
    <x v="77"/>
    <d v="2017-06-01T00:00:00"/>
    <n v="48000"/>
    <n v="37"/>
    <n v="9"/>
    <n v="2400"/>
  </r>
  <r>
    <s v="Alessandra"/>
    <s v="Pepe"/>
    <d v="1992-12-15T00:00:00"/>
    <x v="78"/>
    <d v="2019-01-01T00:00:00"/>
    <n v="42000"/>
    <n v="34"/>
    <n v="7"/>
    <n v="2100"/>
  </r>
  <r>
    <s v="Danilo"/>
    <s v="Rossetti"/>
    <d v="1986-04-20T00:00:00"/>
    <x v="79"/>
    <d v="2014-09-01T00:00:00"/>
    <n v="50000"/>
    <n v="40"/>
    <n v="12"/>
    <n v="5000"/>
  </r>
  <r>
    <s v="Sara"/>
    <s v="Fontanella"/>
    <d v="1995-06-01T00:00:00"/>
    <x v="80"/>
    <d v="2021-01-01T00:00:00"/>
    <n v="34000"/>
    <n v="31"/>
    <n v="5"/>
    <n v="1700"/>
  </r>
  <r>
    <s v="Enzo"/>
    <s v="Coppola"/>
    <d v="1980-02-08T00:00:00"/>
    <x v="81"/>
    <d v="2010-07-01T00:00:00"/>
    <n v="57000"/>
    <n v="46"/>
    <n v="16"/>
    <n v="8550"/>
  </r>
  <r>
    <s v="Marta"/>
    <s v="Calabrese"/>
    <d v="1994-11-17T00:00:00"/>
    <x v="82"/>
    <d v="2020-10-01T00:00:00"/>
    <n v="39000"/>
    <n v="32"/>
    <n v="6"/>
    <n v="1950"/>
  </r>
  <r>
    <s v="Giovanni"/>
    <s v="Landi"/>
    <d v="1977-05-05T00:00:00"/>
    <x v="83"/>
    <d v="2006-01-01T00:00:00"/>
    <n v="88000"/>
    <n v="49"/>
    <n v="20"/>
    <n v="0"/>
  </r>
  <r>
    <s v="Beatrice"/>
    <s v="Tonelli"/>
    <d v="1998-09-23T00:00:00"/>
    <x v="84"/>
    <d v="2023-03-01T00:00:00"/>
    <n v="27000"/>
    <n v="28"/>
    <n v="3"/>
    <n v="0"/>
  </r>
  <r>
    <s v="Simone"/>
    <s v="Gallo"/>
    <d v="1985-07-11T00:00:00"/>
    <x v="85"/>
    <d v="2014-01-15T00:00:00"/>
    <n v="53000"/>
    <n v="41"/>
    <n v="12"/>
    <n v="5300"/>
  </r>
  <r>
    <s v="Claudia"/>
    <s v="Russo"/>
    <d v="1991-01-06T00:00:00"/>
    <x v="86"/>
    <d v="2018-06-01T00:00:00"/>
    <n v="46000"/>
    <n v="35"/>
    <n v="8"/>
    <n v="2300"/>
  </r>
  <r>
    <s v="Marco"/>
    <s v="Bertani"/>
    <d v="1983-08-18T00:00:00"/>
    <x v="87"/>
    <d v="2012-10-01T00:00:00"/>
    <n v="61000"/>
    <n v="43"/>
    <n v="14"/>
    <n v="6100"/>
  </r>
  <r>
    <s v="Davide"/>
    <s v="Pozzoli"/>
    <d v="1988-02-12T00:00:00"/>
    <x v="88"/>
    <d v="2016-06-01T00:00:00"/>
    <n v="45000"/>
    <n v="38"/>
    <n v="10"/>
    <n v="4500"/>
  </r>
  <r>
    <s v="Chiara"/>
    <s v="Bonetti"/>
    <d v="1995-07-09T00:00:00"/>
    <x v="89"/>
    <d v="2021-02-01T00:00:00"/>
    <n v="34000"/>
    <n v="31"/>
    <n v="5"/>
    <n v="1700"/>
  </r>
  <r>
    <s v="Alessandro"/>
    <s v="Ferrero"/>
    <d v="1982-11-25T00:00:00"/>
    <x v="90"/>
    <d v="2012-01-15T00:00:00"/>
    <n v="54000"/>
    <n v="44"/>
    <n v="14"/>
    <n v="5400"/>
  </r>
  <r>
    <s v="Valentina"/>
    <s v="Sorrentino"/>
    <d v="1993-03-18T00:00:00"/>
    <x v="91"/>
    <d v="2019-09-01T00:00:00"/>
    <n v="36000"/>
    <n v="33"/>
    <n v="7"/>
    <n v="1800"/>
  </r>
  <r>
    <s v="Marco"/>
    <s v="Lucchesi"/>
    <d v="1986-09-04T00:00:00"/>
    <x v="92"/>
    <d v="2015-05-01T00:00:00"/>
    <n v="52000"/>
    <n v="40"/>
    <n v="11"/>
    <n v="5200"/>
  </r>
  <r>
    <s v="Elena"/>
    <s v="Maffei"/>
    <d v="1997-01-21T00:00:00"/>
    <x v="93"/>
    <d v="2022-10-01T00:00:00"/>
    <n v="33000"/>
    <n v="29"/>
    <n v="4"/>
    <n v="0"/>
  </r>
  <r>
    <s v="Stefano"/>
    <s v="Pellegrini"/>
    <d v="1980-05-30T00:00:00"/>
    <x v="94"/>
    <d v="2010-04-01T00:00:00"/>
    <n v="57000"/>
    <n v="46"/>
    <n v="16"/>
    <n v="8550"/>
  </r>
  <r>
    <s v="Ilaria"/>
    <s v="Fusco"/>
    <d v="1994-12-06T00:00:00"/>
    <x v="95"/>
    <d v="2020-06-01T00:00:00"/>
    <n v="35000"/>
    <n v="32"/>
    <n v="6"/>
    <n v="1750"/>
  </r>
  <r>
    <s v="Riccardo"/>
    <s v="Marchetti"/>
    <d v="1989-08-14T00:00:00"/>
    <x v="96"/>
    <d v="2017-03-01T00:00:00"/>
    <n v="60000"/>
    <n v="37"/>
    <n v="9"/>
    <n v="3000"/>
  </r>
  <r>
    <s v="Francesca"/>
    <s v="Lodi"/>
    <d v="1996-04-28T00:00:00"/>
    <x v="97"/>
    <d v="2021-11-01T00:00:00"/>
    <n v="32000"/>
    <n v="30"/>
    <n v="5"/>
    <n v="1600"/>
  </r>
  <r>
    <s v="Paolo"/>
    <s v="Castellani"/>
    <d v="1987-06-19T00:00:00"/>
    <x v="98"/>
    <d v="2016-09-01T00:00:00"/>
    <n v="58000"/>
    <n v="39"/>
    <n v="10"/>
    <n v="5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1C00B-C57D-4503-ABBC-761AD3275C20}" name="Tabella pivot2" cacheId="7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1">
  <location ref="A1:B101" firstHeaderRow="1" firstDataRow="1" firstDataCol="1"/>
  <pivotFields count="9">
    <pivotField compact="0" outline="0" showAll="0"/>
    <pivotField compact="0" outline="0" showAll="0"/>
    <pivotField compact="0" numFmtId="14" outline="0" showAll="0"/>
    <pivotField axis="axisRow" compact="0" outline="0" showAll="0">
      <items count="100">
        <item x="8"/>
        <item x="22"/>
        <item x="59"/>
        <item x="5"/>
        <item x="14"/>
        <item x="76"/>
        <item x="57"/>
        <item x="50"/>
        <item x="36"/>
        <item x="72"/>
        <item x="82"/>
        <item x="39"/>
        <item x="62"/>
        <item x="93"/>
        <item x="51"/>
        <item x="83"/>
        <item x="58"/>
        <item x="61"/>
        <item x="68"/>
        <item x="15"/>
        <item x="18"/>
        <item x="38"/>
        <item x="42"/>
        <item x="80"/>
        <item x="20"/>
        <item x="48"/>
        <item x="74"/>
        <item x="25"/>
        <item x="55"/>
        <item x="27"/>
        <item x="13"/>
        <item x="3"/>
        <item x="46"/>
        <item x="66"/>
        <item x="32"/>
        <item x="34"/>
        <item x="6"/>
        <item x="91"/>
        <item x="78"/>
        <item x="2"/>
        <item x="85"/>
        <item x="75"/>
        <item x="19"/>
        <item x="90"/>
        <item x="37"/>
        <item x="52"/>
        <item x="86"/>
        <item x="56"/>
        <item x="24"/>
        <item x="64"/>
        <item x="69"/>
        <item x="40"/>
        <item x="92"/>
        <item x="30"/>
        <item x="89"/>
        <item x="4"/>
        <item x="33"/>
        <item x="44"/>
        <item x="73"/>
        <item x="53"/>
        <item x="65"/>
        <item x="26"/>
        <item x="29"/>
        <item x="77"/>
        <item x="7"/>
        <item x="21"/>
        <item x="16"/>
        <item x="31"/>
        <item x="94"/>
        <item x="47"/>
        <item x="67"/>
        <item x="81"/>
        <item x="88"/>
        <item x="63"/>
        <item x="0"/>
        <item x="23"/>
        <item x="54"/>
        <item x="49"/>
        <item x="71"/>
        <item x="98"/>
        <item x="17"/>
        <item x="41"/>
        <item x="35"/>
        <item x="87"/>
        <item x="60"/>
        <item x="79"/>
        <item x="9"/>
        <item x="43"/>
        <item x="28"/>
        <item x="11"/>
        <item x="10"/>
        <item x="96"/>
        <item x="45"/>
        <item x="70"/>
        <item x="1"/>
        <item x="84"/>
        <item x="95"/>
        <item x="97"/>
        <item x="12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numFmtId="1" outline="0" showAll="0"/>
    <pivotField compact="0" outline="0" showAll="0"/>
  </pivotFields>
  <rowFields count="1">
    <field x="3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Items count="1">
    <i/>
  </colItems>
  <dataFields count="1">
    <dataField name="Media di Stipendio annuo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defaultRowHeight="15"/>
  <cols>
    <col min="1" max="1" width="11.5703125" bestFit="1" customWidth="1"/>
  </cols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890D3-C2D2-4441-837E-0FDDD7C7EB88}">
  <dimension ref="A1:D3"/>
  <sheetViews>
    <sheetView workbookViewId="0">
      <selection activeCell="D3" sqref="D3"/>
    </sheetView>
  </sheetViews>
  <sheetFormatPr defaultRowHeight="15"/>
  <cols>
    <col min="3" max="3" width="9.28515625" bestFit="1" customWidth="1"/>
    <col min="4" max="4" width="15.140625" bestFit="1" customWidth="1"/>
  </cols>
  <sheetData>
    <row r="1" spans="1:4">
      <c r="B1" s="1" t="s">
        <v>1</v>
      </c>
      <c r="C1" s="2" t="s">
        <v>2</v>
      </c>
      <c r="D1" s="2" t="s">
        <v>3</v>
      </c>
    </row>
    <row r="2" spans="1:4">
      <c r="A2">
        <v>1</v>
      </c>
      <c r="B2" t="s">
        <v>4</v>
      </c>
      <c r="C2" t="s">
        <v>5</v>
      </c>
      <c r="D2" t="str">
        <f>B2&amp;", "&amp;C2</f>
        <v>Jean, Dupont</v>
      </c>
    </row>
    <row r="3" spans="1:4">
      <c r="A3">
        <v>2</v>
      </c>
      <c r="B3" t="s">
        <v>6</v>
      </c>
      <c r="C3" t="s">
        <v>7</v>
      </c>
      <c r="D3" t="str">
        <f>B3&amp;", "&amp;C3</f>
        <v>Jaccques, Durant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D914-182A-4C24-A0E9-E396EE8F58E5}">
  <dimension ref="A1:E3"/>
  <sheetViews>
    <sheetView workbookViewId="0">
      <selection activeCell="D9" sqref="D9"/>
    </sheetView>
  </sheetViews>
  <sheetFormatPr defaultRowHeight="15"/>
  <cols>
    <col min="3" max="3" width="9.28515625" bestFit="1" customWidth="1"/>
    <col min="4" max="4" width="14.5703125" bestFit="1" customWidth="1"/>
    <col min="5" max="5" width="13" bestFit="1" customWidth="1"/>
  </cols>
  <sheetData>
    <row r="1" spans="1:5">
      <c r="B1" s="1" t="s">
        <v>1</v>
      </c>
      <c r="C1" s="1" t="s">
        <v>2</v>
      </c>
      <c r="D1" s="1" t="s">
        <v>8</v>
      </c>
      <c r="E1" s="2" t="s">
        <v>9</v>
      </c>
    </row>
    <row r="2" spans="1:5">
      <c r="A2">
        <v>1</v>
      </c>
      <c r="B2" t="s">
        <v>4</v>
      </c>
      <c r="C2" t="s">
        <v>5</v>
      </c>
      <c r="D2">
        <v>1985</v>
      </c>
      <c r="E2" t="str">
        <f>LOWER(B2&amp;"_"&amp;C2&amp;"_"&amp;D2)</f>
        <v>jean_dupont_1985</v>
      </c>
    </row>
    <row r="3" spans="1:5">
      <c r="A3">
        <v>2</v>
      </c>
      <c r="B3" t="s">
        <v>10</v>
      </c>
      <c r="C3" t="s">
        <v>7</v>
      </c>
      <c r="D3">
        <v>1990</v>
      </c>
      <c r="E3" t="str">
        <f>LOWER(B3&amp;"_"&amp;C3&amp;"_"&amp;D3)</f>
        <v>jacques_durant_1990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CAC1-EC26-4091-98FD-DE35FE94AC80}">
  <dimension ref="A1:E4"/>
  <sheetViews>
    <sheetView workbookViewId="0">
      <selection activeCell="B13" sqref="B13"/>
    </sheetView>
  </sheetViews>
  <sheetFormatPr defaultRowHeight="15"/>
  <cols>
    <col min="5" max="5" width="36.5703125" bestFit="1" customWidth="1"/>
  </cols>
  <sheetData>
    <row r="1" spans="1:5">
      <c r="B1" s="1" t="s">
        <v>1</v>
      </c>
      <c r="C1" s="1" t="s">
        <v>2</v>
      </c>
      <c r="D1" s="1" t="s">
        <v>8</v>
      </c>
      <c r="E1" s="2" t="s">
        <v>9</v>
      </c>
    </row>
    <row r="2" spans="1:5" ht="45.75">
      <c r="A2">
        <v>1</v>
      </c>
      <c r="B2" t="s">
        <v>4</v>
      </c>
      <c r="C2" t="s">
        <v>5</v>
      </c>
      <c r="D2">
        <v>1985</v>
      </c>
      <c r="E2" s="3" t="str">
        <f>IF(D2&lt;1990, "OLD_"&amp;UPPER(B2&amp;"|"&amp;C2), "NEW_"&amp;LOWER(C2&amp;"-"&amp;B2))</f>
        <v>OLD_JEAN|DUPONT</v>
      </c>
    </row>
    <row r="3" spans="1:5">
      <c r="A3">
        <v>2</v>
      </c>
      <c r="B3" t="s">
        <v>10</v>
      </c>
      <c r="C3" t="s">
        <v>7</v>
      </c>
      <c r="D3">
        <v>1990</v>
      </c>
      <c r="E3" s="3" t="str">
        <f t="shared" ref="E3:E4" si="0">IF(D3&lt;1990, "OLD_"&amp;UPPER(B3&amp;"|"&amp;C3), "NEW_"&amp;LOWER(C3&amp;"-"&amp;B3))</f>
        <v>NEW_durant-jacques</v>
      </c>
    </row>
    <row r="4" spans="1:5">
      <c r="A4">
        <v>3</v>
      </c>
      <c r="B4" t="s">
        <v>11</v>
      </c>
      <c r="C4" t="s">
        <v>12</v>
      </c>
      <c r="D4">
        <v>1980</v>
      </c>
      <c r="E4" s="3" t="str">
        <f t="shared" si="0"/>
        <v>OLD_MARIE|DUPIS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4980-FEB2-4621-8F93-384BB7ED2160}">
  <dimension ref="A1:F101"/>
  <sheetViews>
    <sheetView tabSelected="1" topLeftCell="A81" workbookViewId="0">
      <selection activeCell="F102" sqref="F102"/>
    </sheetView>
  </sheetViews>
  <sheetFormatPr defaultColWidth="14" defaultRowHeight="15"/>
  <cols>
    <col min="1" max="1" width="10.42578125" bestFit="1" customWidth="1"/>
    <col min="2" max="2" width="11.7109375" bestFit="1" customWidth="1"/>
    <col min="3" max="3" width="13.7109375" bestFit="1" customWidth="1"/>
    <col min="4" max="4" width="34.7109375" bestFit="1" customWidth="1"/>
    <col min="5" max="5" width="17.140625" bestFit="1" customWidth="1"/>
    <col min="6" max="6" width="15.140625" bestFit="1" customWidth="1"/>
  </cols>
  <sheetData>
    <row r="1" spans="1:6">
      <c r="A1" s="3" t="s">
        <v>1</v>
      </c>
      <c r="B1" t="s">
        <v>2</v>
      </c>
      <c r="C1" t="s">
        <v>13</v>
      </c>
      <c r="D1" t="s">
        <v>14</v>
      </c>
      <c r="E1" t="s">
        <v>15</v>
      </c>
      <c r="F1" t="s">
        <v>16</v>
      </c>
    </row>
    <row r="2" spans="1:6">
      <c r="A2" s="3" t="s">
        <v>17</v>
      </c>
      <c r="B2" t="s">
        <v>18</v>
      </c>
      <c r="C2" s="4">
        <v>31118</v>
      </c>
      <c r="D2" t="s">
        <v>19</v>
      </c>
      <c r="E2" s="4">
        <v>42156</v>
      </c>
      <c r="F2">
        <v>52000</v>
      </c>
    </row>
    <row r="3" spans="1:6">
      <c r="A3" s="3" t="s">
        <v>20</v>
      </c>
      <c r="B3" t="s">
        <v>21</v>
      </c>
      <c r="C3" s="4">
        <v>33076</v>
      </c>
      <c r="D3" t="s">
        <v>22</v>
      </c>
      <c r="E3" s="4">
        <v>43358</v>
      </c>
      <c r="F3">
        <v>38000</v>
      </c>
    </row>
    <row r="4" spans="1:6">
      <c r="A4" s="3" t="s">
        <v>23</v>
      </c>
      <c r="B4" t="s">
        <v>24</v>
      </c>
      <c r="C4" s="4">
        <v>33613</v>
      </c>
      <c r="D4" t="s">
        <v>25</v>
      </c>
      <c r="E4" s="4">
        <v>43497</v>
      </c>
      <c r="F4">
        <v>36000</v>
      </c>
    </row>
    <row r="5" spans="1:6">
      <c r="A5" s="3" t="s">
        <v>26</v>
      </c>
      <c r="B5" t="s">
        <v>27</v>
      </c>
      <c r="C5" s="4">
        <v>29530</v>
      </c>
      <c r="D5" t="s">
        <v>28</v>
      </c>
      <c r="E5" s="4">
        <v>40188</v>
      </c>
      <c r="F5">
        <v>75000</v>
      </c>
    </row>
    <row r="6" spans="1:6">
      <c r="A6" s="3" t="s">
        <v>29</v>
      </c>
      <c r="B6" t="s">
        <v>30</v>
      </c>
      <c r="C6" s="4">
        <v>34807</v>
      </c>
      <c r="D6" t="s">
        <v>31</v>
      </c>
      <c r="E6" s="4">
        <v>44256</v>
      </c>
      <c r="F6">
        <v>33000</v>
      </c>
    </row>
    <row r="7" spans="1:6">
      <c r="A7" s="3" t="s">
        <v>32</v>
      </c>
      <c r="B7" t="s">
        <v>33</v>
      </c>
      <c r="C7" s="4">
        <v>32416</v>
      </c>
      <c r="D7" t="s">
        <v>34</v>
      </c>
      <c r="E7" s="4">
        <v>42870</v>
      </c>
      <c r="F7">
        <v>42000</v>
      </c>
    </row>
    <row r="8" spans="1:6">
      <c r="A8" s="3" t="s">
        <v>35</v>
      </c>
      <c r="B8" t="s">
        <v>36</v>
      </c>
      <c r="C8" s="4">
        <v>34145</v>
      </c>
      <c r="D8" t="s">
        <v>37</v>
      </c>
      <c r="E8" s="4">
        <v>43871</v>
      </c>
      <c r="F8">
        <v>32000</v>
      </c>
    </row>
    <row r="9" spans="1:6">
      <c r="A9" s="3" t="s">
        <v>38</v>
      </c>
      <c r="B9" t="s">
        <v>39</v>
      </c>
      <c r="C9" s="4">
        <v>31760</v>
      </c>
      <c r="D9" t="s">
        <v>40</v>
      </c>
      <c r="E9" s="4">
        <v>42461</v>
      </c>
      <c r="F9">
        <v>48000</v>
      </c>
    </row>
    <row r="10" spans="1:6">
      <c r="A10" s="3" t="s">
        <v>41</v>
      </c>
      <c r="B10" t="s">
        <v>42</v>
      </c>
      <c r="C10" s="4">
        <v>33459</v>
      </c>
      <c r="D10" t="s">
        <v>43</v>
      </c>
      <c r="E10" s="4">
        <v>43647</v>
      </c>
      <c r="F10">
        <v>40000</v>
      </c>
    </row>
    <row r="11" spans="1:6">
      <c r="A11" s="3" t="s">
        <v>44</v>
      </c>
      <c r="B11" t="s">
        <v>45</v>
      </c>
      <c r="C11" s="4">
        <v>30732</v>
      </c>
      <c r="D11" t="s">
        <v>46</v>
      </c>
      <c r="E11" s="4">
        <v>41348</v>
      </c>
      <c r="F11">
        <v>55000</v>
      </c>
    </row>
    <row r="12" spans="1:6">
      <c r="A12" s="3" t="s">
        <v>47</v>
      </c>
      <c r="B12" t="s">
        <v>48</v>
      </c>
      <c r="C12" s="4">
        <v>35341</v>
      </c>
      <c r="D12" t="s">
        <v>49</v>
      </c>
      <c r="E12" s="4">
        <v>44440</v>
      </c>
      <c r="F12">
        <v>31000</v>
      </c>
    </row>
    <row r="13" spans="1:6">
      <c r="A13" s="3" t="s">
        <v>50</v>
      </c>
      <c r="B13" t="s">
        <v>51</v>
      </c>
      <c r="C13" s="4">
        <v>31924</v>
      </c>
      <c r="D13" t="s">
        <v>52</v>
      </c>
      <c r="E13" s="4">
        <v>42309</v>
      </c>
      <c r="F13">
        <v>43000</v>
      </c>
    </row>
    <row r="14" spans="1:6">
      <c r="A14" s="3" t="s">
        <v>53</v>
      </c>
      <c r="B14" t="s">
        <v>54</v>
      </c>
      <c r="C14" s="4">
        <v>34350</v>
      </c>
      <c r="D14" t="s">
        <v>55</v>
      </c>
      <c r="E14" s="4">
        <v>43983</v>
      </c>
      <c r="F14">
        <v>35000</v>
      </c>
    </row>
    <row r="15" spans="1:6">
      <c r="A15" s="3" t="s">
        <v>56</v>
      </c>
      <c r="B15" t="s">
        <v>57</v>
      </c>
      <c r="C15" s="4">
        <v>30140</v>
      </c>
      <c r="D15" t="s">
        <v>58</v>
      </c>
      <c r="E15" s="4">
        <v>39814</v>
      </c>
      <c r="F15">
        <v>80000</v>
      </c>
    </row>
    <row r="16" spans="1:6">
      <c r="A16" s="3" t="s">
        <v>59</v>
      </c>
      <c r="B16" t="s">
        <v>60</v>
      </c>
      <c r="C16" s="4">
        <v>35763</v>
      </c>
      <c r="D16" t="s">
        <v>61</v>
      </c>
      <c r="E16" s="4">
        <v>44593</v>
      </c>
      <c r="F16">
        <v>28000</v>
      </c>
    </row>
    <row r="17" spans="1:6">
      <c r="A17" s="3" t="s">
        <v>62</v>
      </c>
      <c r="B17" t="s">
        <v>63</v>
      </c>
      <c r="C17" s="4">
        <v>32571</v>
      </c>
      <c r="D17" t="s">
        <v>64</v>
      </c>
      <c r="E17" s="4">
        <v>43374</v>
      </c>
      <c r="F17">
        <v>46000</v>
      </c>
    </row>
    <row r="18" spans="1:6">
      <c r="A18" s="3" t="s">
        <v>65</v>
      </c>
      <c r="B18" t="s">
        <v>66</v>
      </c>
      <c r="C18" s="4">
        <v>33959</v>
      </c>
      <c r="D18" t="s">
        <v>67</v>
      </c>
      <c r="E18" s="4">
        <v>43586</v>
      </c>
      <c r="F18">
        <v>34000</v>
      </c>
    </row>
    <row r="19" spans="1:6">
      <c r="A19" s="3" t="s">
        <v>68</v>
      </c>
      <c r="B19" t="s">
        <v>69</v>
      </c>
      <c r="C19" s="4">
        <v>28652</v>
      </c>
      <c r="D19" t="s">
        <v>70</v>
      </c>
      <c r="E19" s="4">
        <v>39539</v>
      </c>
      <c r="F19">
        <v>62000</v>
      </c>
    </row>
    <row r="20" spans="1:6">
      <c r="A20" s="3" t="s">
        <v>71</v>
      </c>
      <c r="B20" t="s">
        <v>72</v>
      </c>
      <c r="C20" s="4">
        <v>34959</v>
      </c>
      <c r="D20" t="s">
        <v>73</v>
      </c>
      <c r="E20" s="4">
        <v>44211</v>
      </c>
      <c r="F20">
        <v>30000</v>
      </c>
    </row>
    <row r="21" spans="1:6">
      <c r="A21" s="3" t="s">
        <v>74</v>
      </c>
      <c r="B21" t="s">
        <v>75</v>
      </c>
      <c r="C21" s="4">
        <v>30432</v>
      </c>
      <c r="D21" t="s">
        <v>76</v>
      </c>
      <c r="E21" s="4">
        <v>41153</v>
      </c>
      <c r="F21">
        <v>50000</v>
      </c>
    </row>
    <row r="22" spans="1:6">
      <c r="A22" s="3" t="s">
        <v>77</v>
      </c>
      <c r="B22" t="s">
        <v>78</v>
      </c>
      <c r="C22" s="4">
        <v>32917</v>
      </c>
      <c r="D22" t="s">
        <v>79</v>
      </c>
      <c r="E22" s="4">
        <v>42887</v>
      </c>
      <c r="F22">
        <v>39000</v>
      </c>
    </row>
    <row r="23" spans="1:6">
      <c r="A23" s="3" t="s">
        <v>80</v>
      </c>
      <c r="B23" t="s">
        <v>81</v>
      </c>
      <c r="C23" s="4">
        <v>31625</v>
      </c>
      <c r="D23" t="s">
        <v>82</v>
      </c>
      <c r="E23" s="4">
        <v>41944</v>
      </c>
      <c r="F23">
        <v>47000</v>
      </c>
    </row>
    <row r="24" spans="1:6">
      <c r="A24" s="3" t="s">
        <v>83</v>
      </c>
      <c r="B24" t="s">
        <v>84</v>
      </c>
      <c r="C24" s="4">
        <v>34098</v>
      </c>
      <c r="D24" t="s">
        <v>85</v>
      </c>
      <c r="E24" s="4">
        <v>43891</v>
      </c>
      <c r="F24">
        <v>32000</v>
      </c>
    </row>
    <row r="25" spans="1:6">
      <c r="A25" s="3" t="s">
        <v>86</v>
      </c>
      <c r="B25" t="s">
        <v>87</v>
      </c>
      <c r="C25" s="4">
        <v>29889</v>
      </c>
      <c r="D25" t="s">
        <v>88</v>
      </c>
      <c r="E25" s="4">
        <v>40725</v>
      </c>
      <c r="F25">
        <v>56000</v>
      </c>
    </row>
    <row r="26" spans="1:6">
      <c r="A26" s="3" t="s">
        <v>89</v>
      </c>
      <c r="B26" t="s">
        <v>90</v>
      </c>
      <c r="C26" s="4">
        <v>35260</v>
      </c>
      <c r="D26" t="s">
        <v>91</v>
      </c>
      <c r="E26" s="4">
        <v>44571</v>
      </c>
      <c r="F26">
        <v>29000</v>
      </c>
    </row>
    <row r="27" spans="1:6">
      <c r="A27" s="3" t="s">
        <v>92</v>
      </c>
      <c r="B27" t="s">
        <v>93</v>
      </c>
      <c r="C27" s="4">
        <v>32165</v>
      </c>
      <c r="D27" t="s">
        <v>94</v>
      </c>
      <c r="E27" s="4">
        <v>42826</v>
      </c>
      <c r="F27">
        <v>48000</v>
      </c>
    </row>
    <row r="28" spans="1:6">
      <c r="A28" s="3" t="s">
        <v>95</v>
      </c>
      <c r="B28" t="s">
        <v>96</v>
      </c>
      <c r="C28" s="4">
        <v>34426</v>
      </c>
      <c r="D28" t="s">
        <v>97</v>
      </c>
      <c r="E28" s="4">
        <v>44075</v>
      </c>
      <c r="F28">
        <v>37000</v>
      </c>
    </row>
    <row r="29" spans="1:6">
      <c r="A29" s="3" t="s">
        <v>98</v>
      </c>
      <c r="B29" t="s">
        <v>99</v>
      </c>
      <c r="C29" s="4">
        <v>29208</v>
      </c>
      <c r="D29" t="s">
        <v>100</v>
      </c>
      <c r="E29" s="4">
        <v>39114</v>
      </c>
      <c r="F29">
        <v>78000</v>
      </c>
    </row>
    <row r="30" spans="1:6">
      <c r="A30" s="3" t="s">
        <v>101</v>
      </c>
      <c r="B30" t="s">
        <v>102</v>
      </c>
      <c r="C30" s="4">
        <v>35516</v>
      </c>
      <c r="D30" t="s">
        <v>103</v>
      </c>
      <c r="E30" s="4">
        <v>44713</v>
      </c>
      <c r="F30">
        <v>27000</v>
      </c>
    </row>
    <row r="31" spans="1:6">
      <c r="A31" s="3" t="s">
        <v>104</v>
      </c>
      <c r="B31" t="s">
        <v>105</v>
      </c>
      <c r="C31" s="4">
        <v>31204</v>
      </c>
      <c r="D31" t="s">
        <v>106</v>
      </c>
      <c r="E31" s="4">
        <v>42248</v>
      </c>
      <c r="F31">
        <v>52000</v>
      </c>
    </row>
    <row r="32" spans="1:6">
      <c r="A32" s="3" t="s">
        <v>107</v>
      </c>
      <c r="B32" t="s">
        <v>108</v>
      </c>
      <c r="C32" s="4">
        <v>33554</v>
      </c>
      <c r="D32" t="s">
        <v>109</v>
      </c>
      <c r="E32" s="4">
        <v>43115</v>
      </c>
      <c r="F32">
        <v>45000</v>
      </c>
    </row>
    <row r="33" spans="1:6">
      <c r="A33" s="3" t="s">
        <v>110</v>
      </c>
      <c r="B33" t="s">
        <v>111</v>
      </c>
      <c r="C33" s="4">
        <v>30355</v>
      </c>
      <c r="D33" t="s">
        <v>112</v>
      </c>
      <c r="E33" s="4">
        <v>41030</v>
      </c>
      <c r="F33">
        <v>54000</v>
      </c>
    </row>
    <row r="34" spans="1:6">
      <c r="A34" s="3" t="s">
        <v>113</v>
      </c>
      <c r="B34" t="s">
        <v>114</v>
      </c>
      <c r="C34" s="4">
        <v>34729</v>
      </c>
      <c r="D34" t="s">
        <v>115</v>
      </c>
      <c r="E34" s="4">
        <v>44287</v>
      </c>
      <c r="F34">
        <v>33000</v>
      </c>
    </row>
    <row r="35" spans="1:6">
      <c r="A35" s="3" t="s">
        <v>116</v>
      </c>
      <c r="B35" t="s">
        <v>117</v>
      </c>
      <c r="C35" s="4">
        <v>32038</v>
      </c>
      <c r="D35" t="s">
        <v>118</v>
      </c>
      <c r="E35" s="4">
        <v>42583</v>
      </c>
      <c r="F35">
        <v>46000</v>
      </c>
    </row>
    <row r="36" spans="1:6">
      <c r="A36" s="3" t="s">
        <v>119</v>
      </c>
      <c r="B36" t="s">
        <v>120</v>
      </c>
      <c r="C36" s="4">
        <v>33758</v>
      </c>
      <c r="D36" t="s">
        <v>121</v>
      </c>
      <c r="E36" s="4">
        <v>43739</v>
      </c>
      <c r="F36">
        <v>36000</v>
      </c>
    </row>
    <row r="37" spans="1:6">
      <c r="A37" s="3" t="s">
        <v>122</v>
      </c>
      <c r="B37" t="s">
        <v>123</v>
      </c>
      <c r="C37" s="4">
        <v>29295</v>
      </c>
      <c r="D37" t="s">
        <v>124</v>
      </c>
      <c r="E37" s="4">
        <v>40330</v>
      </c>
      <c r="F37">
        <v>58000</v>
      </c>
    </row>
    <row r="38" spans="1:6">
      <c r="A38" s="3" t="s">
        <v>125</v>
      </c>
      <c r="B38" t="s">
        <v>126</v>
      </c>
      <c r="C38" s="4">
        <v>35406</v>
      </c>
      <c r="D38" t="s">
        <v>127</v>
      </c>
      <c r="E38" s="4">
        <v>44621</v>
      </c>
      <c r="F38">
        <v>28000</v>
      </c>
    </row>
    <row r="39" spans="1:6">
      <c r="A39" s="3" t="s">
        <v>128</v>
      </c>
      <c r="B39" t="s">
        <v>129</v>
      </c>
      <c r="C39" s="4">
        <v>30821</v>
      </c>
      <c r="D39" t="s">
        <v>130</v>
      </c>
      <c r="E39" s="4">
        <v>41518</v>
      </c>
      <c r="F39">
        <v>51000</v>
      </c>
    </row>
    <row r="40" spans="1:6">
      <c r="A40" s="3" t="s">
        <v>131</v>
      </c>
      <c r="B40" t="s">
        <v>132</v>
      </c>
      <c r="C40" s="4">
        <v>34207</v>
      </c>
      <c r="D40" t="s">
        <v>133</v>
      </c>
      <c r="E40" s="4">
        <v>43831</v>
      </c>
      <c r="F40">
        <v>41000</v>
      </c>
    </row>
    <row r="41" spans="1:6">
      <c r="A41" s="3" t="s">
        <v>134</v>
      </c>
      <c r="B41" t="s">
        <v>135</v>
      </c>
      <c r="C41" s="4">
        <v>32814</v>
      </c>
      <c r="D41" t="s">
        <v>136</v>
      </c>
      <c r="E41" s="4">
        <v>42917</v>
      </c>
      <c r="F41">
        <v>44000</v>
      </c>
    </row>
    <row r="42" spans="1:6">
      <c r="A42" s="3" t="s">
        <v>137</v>
      </c>
      <c r="B42" t="s">
        <v>138</v>
      </c>
      <c r="C42" s="4">
        <v>35475</v>
      </c>
      <c r="D42" t="s">
        <v>139</v>
      </c>
      <c r="E42" s="4">
        <v>44682</v>
      </c>
      <c r="F42">
        <v>29000</v>
      </c>
    </row>
    <row r="43" spans="1:6">
      <c r="A43" s="3" t="s">
        <v>140</v>
      </c>
      <c r="B43" t="s">
        <v>141</v>
      </c>
      <c r="C43" s="4">
        <v>29765</v>
      </c>
      <c r="D43" t="s">
        <v>142</v>
      </c>
      <c r="E43" s="4">
        <v>40817</v>
      </c>
      <c r="F43">
        <v>56000</v>
      </c>
    </row>
    <row r="44" spans="1:6">
      <c r="A44" s="3" t="s">
        <v>143</v>
      </c>
      <c r="B44" t="s">
        <v>144</v>
      </c>
      <c r="C44" s="4">
        <v>34582</v>
      </c>
      <c r="D44" t="s">
        <v>145</v>
      </c>
      <c r="E44" s="4">
        <v>44136</v>
      </c>
      <c r="F44">
        <v>32000</v>
      </c>
    </row>
    <row r="45" spans="1:6">
      <c r="A45" s="3" t="s">
        <v>146</v>
      </c>
      <c r="B45" t="s">
        <v>147</v>
      </c>
      <c r="C45" s="4">
        <v>31421</v>
      </c>
      <c r="D45" t="s">
        <v>148</v>
      </c>
      <c r="E45" s="4">
        <v>42036</v>
      </c>
      <c r="F45">
        <v>47000</v>
      </c>
    </row>
    <row r="46" spans="1:6">
      <c r="A46" s="3" t="s">
        <v>149</v>
      </c>
      <c r="B46" t="s">
        <v>150</v>
      </c>
      <c r="C46" s="4">
        <v>33705</v>
      </c>
      <c r="D46" t="s">
        <v>151</v>
      </c>
      <c r="E46" s="4">
        <v>43344</v>
      </c>
      <c r="F46">
        <v>38000</v>
      </c>
    </row>
    <row r="47" spans="1:6">
      <c r="A47" s="3" t="s">
        <v>152</v>
      </c>
      <c r="B47" t="s">
        <v>153</v>
      </c>
      <c r="C47" s="4">
        <v>35996</v>
      </c>
      <c r="D47" t="s">
        <v>154</v>
      </c>
      <c r="E47" s="4">
        <v>44986</v>
      </c>
      <c r="F47">
        <v>22000</v>
      </c>
    </row>
    <row r="48" spans="1:6">
      <c r="A48" s="3" t="s">
        <v>155</v>
      </c>
      <c r="B48" t="s">
        <v>156</v>
      </c>
      <c r="C48" s="4">
        <v>28399</v>
      </c>
      <c r="D48" t="s">
        <v>157</v>
      </c>
      <c r="E48" s="4">
        <v>38718</v>
      </c>
      <c r="F48">
        <v>72000</v>
      </c>
    </row>
    <row r="49" spans="1:6">
      <c r="A49" s="3" t="s">
        <v>158</v>
      </c>
      <c r="B49" t="s">
        <v>159</v>
      </c>
      <c r="C49" s="4">
        <v>31403</v>
      </c>
      <c r="D49" t="s">
        <v>160</v>
      </c>
      <c r="E49" s="4">
        <v>41791</v>
      </c>
      <c r="F49">
        <v>50000</v>
      </c>
    </row>
    <row r="50" spans="1:6">
      <c r="A50" s="3" t="s">
        <v>161</v>
      </c>
      <c r="B50" t="s">
        <v>162</v>
      </c>
      <c r="C50" s="4">
        <v>35132</v>
      </c>
      <c r="D50" t="s">
        <v>163</v>
      </c>
      <c r="E50" s="4">
        <v>44470</v>
      </c>
      <c r="F50">
        <v>35000</v>
      </c>
    </row>
    <row r="51" spans="1:6">
      <c r="A51" s="3" t="s">
        <v>164</v>
      </c>
      <c r="B51" t="s">
        <v>165</v>
      </c>
      <c r="C51" s="4">
        <v>30179</v>
      </c>
      <c r="D51" t="s">
        <v>166</v>
      </c>
      <c r="E51" s="4">
        <v>40969</v>
      </c>
      <c r="F51">
        <v>54000</v>
      </c>
    </row>
    <row r="52" spans="1:6">
      <c r="A52" s="3" t="s">
        <v>167</v>
      </c>
      <c r="B52" t="s">
        <v>168</v>
      </c>
      <c r="C52" s="4">
        <v>36185</v>
      </c>
      <c r="D52" t="s">
        <v>169</v>
      </c>
      <c r="E52" s="4">
        <v>45078</v>
      </c>
      <c r="F52">
        <v>24000</v>
      </c>
    </row>
    <row r="53" spans="1:6">
      <c r="A53" s="3" t="s">
        <v>170</v>
      </c>
      <c r="B53" t="s">
        <v>171</v>
      </c>
      <c r="C53" s="4">
        <v>27854</v>
      </c>
      <c r="D53" t="s">
        <v>172</v>
      </c>
      <c r="E53" s="4">
        <v>38353</v>
      </c>
      <c r="F53">
        <v>95000</v>
      </c>
    </row>
    <row r="54" spans="1:6">
      <c r="A54" t="s">
        <v>44</v>
      </c>
      <c r="B54" t="s">
        <v>173</v>
      </c>
      <c r="C54" s="4">
        <v>31791</v>
      </c>
      <c r="D54" t="s">
        <v>174</v>
      </c>
      <c r="E54" s="4">
        <v>42401</v>
      </c>
      <c r="F54">
        <v>47000</v>
      </c>
    </row>
    <row r="55" spans="1:6">
      <c r="A55" t="s">
        <v>175</v>
      </c>
      <c r="B55" t="s">
        <v>176</v>
      </c>
      <c r="C55" s="4">
        <v>34081</v>
      </c>
      <c r="D55" t="s">
        <v>177</v>
      </c>
      <c r="E55" s="4">
        <v>43952</v>
      </c>
      <c r="F55">
        <v>35000</v>
      </c>
    </row>
    <row r="56" spans="1:6">
      <c r="A56" t="s">
        <v>38</v>
      </c>
      <c r="B56" t="s">
        <v>178</v>
      </c>
      <c r="C56" s="4">
        <v>30935</v>
      </c>
      <c r="D56" t="s">
        <v>179</v>
      </c>
      <c r="E56" s="4">
        <v>41426</v>
      </c>
      <c r="F56">
        <v>52000</v>
      </c>
    </row>
    <row r="57" spans="1:6">
      <c r="A57" t="s">
        <v>149</v>
      </c>
      <c r="B57" t="s">
        <v>180</v>
      </c>
      <c r="C57" s="4">
        <v>35006</v>
      </c>
      <c r="D57" t="s">
        <v>181</v>
      </c>
      <c r="E57" s="4">
        <v>44287</v>
      </c>
      <c r="F57">
        <v>33000</v>
      </c>
    </row>
    <row r="58" spans="1:6">
      <c r="A58" t="s">
        <v>62</v>
      </c>
      <c r="B58" t="s">
        <v>182</v>
      </c>
      <c r="C58" s="4">
        <v>32566</v>
      </c>
      <c r="D58" t="s">
        <v>183</v>
      </c>
      <c r="E58" s="4">
        <v>42979</v>
      </c>
      <c r="F58">
        <v>38000</v>
      </c>
    </row>
    <row r="59" spans="1:6">
      <c r="A59" t="s">
        <v>89</v>
      </c>
      <c r="B59" t="s">
        <v>184</v>
      </c>
      <c r="C59" s="4">
        <v>35599</v>
      </c>
      <c r="D59" t="s">
        <v>185</v>
      </c>
      <c r="E59" s="4">
        <v>44743</v>
      </c>
      <c r="F59">
        <v>29000</v>
      </c>
    </row>
    <row r="60" spans="1:6">
      <c r="A60" t="s">
        <v>186</v>
      </c>
      <c r="B60" t="s">
        <v>187</v>
      </c>
      <c r="C60" s="4">
        <v>31751</v>
      </c>
      <c r="D60" t="s">
        <v>188</v>
      </c>
      <c r="E60" s="4">
        <v>42278</v>
      </c>
      <c r="F60">
        <v>49000</v>
      </c>
    </row>
    <row r="61" spans="1:6">
      <c r="A61" t="s">
        <v>83</v>
      </c>
      <c r="B61" t="s">
        <v>189</v>
      </c>
      <c r="C61" s="4">
        <v>33672</v>
      </c>
      <c r="D61" t="s">
        <v>190</v>
      </c>
      <c r="E61" s="4">
        <v>43770</v>
      </c>
      <c r="F61">
        <v>34000</v>
      </c>
    </row>
    <row r="62" spans="1:6">
      <c r="A62" t="s">
        <v>191</v>
      </c>
      <c r="B62" t="s">
        <v>192</v>
      </c>
      <c r="C62" s="4">
        <v>29788</v>
      </c>
      <c r="D62" t="s">
        <v>193</v>
      </c>
      <c r="E62" s="4">
        <v>40558</v>
      </c>
      <c r="F62">
        <v>60000</v>
      </c>
    </row>
    <row r="63" spans="1:6">
      <c r="A63" t="s">
        <v>194</v>
      </c>
      <c r="B63" t="s">
        <v>195</v>
      </c>
      <c r="C63" s="4">
        <v>34576</v>
      </c>
      <c r="D63" t="s">
        <v>196</v>
      </c>
      <c r="E63" s="4">
        <v>43862</v>
      </c>
      <c r="F63">
        <v>36000</v>
      </c>
    </row>
    <row r="64" spans="1:6">
      <c r="A64" t="s">
        <v>134</v>
      </c>
      <c r="B64" t="s">
        <v>197</v>
      </c>
      <c r="C64" s="4">
        <v>32279</v>
      </c>
      <c r="D64" t="s">
        <v>198</v>
      </c>
      <c r="E64" s="4">
        <v>42614</v>
      </c>
      <c r="F64">
        <v>45000</v>
      </c>
    </row>
    <row r="65" spans="1:6">
      <c r="A65" t="s">
        <v>199</v>
      </c>
      <c r="B65" t="s">
        <v>200</v>
      </c>
      <c r="C65" s="4">
        <v>30591</v>
      </c>
      <c r="D65" t="s">
        <v>201</v>
      </c>
      <c r="E65" s="4">
        <v>41000</v>
      </c>
      <c r="F65">
        <v>58000</v>
      </c>
    </row>
    <row r="66" spans="1:6">
      <c r="A66" t="s">
        <v>23</v>
      </c>
      <c r="B66" t="s">
        <v>202</v>
      </c>
      <c r="C66" s="4">
        <v>35089</v>
      </c>
      <c r="D66" t="s">
        <v>203</v>
      </c>
      <c r="E66" s="4">
        <v>44571</v>
      </c>
      <c r="F66">
        <v>30000</v>
      </c>
    </row>
    <row r="67" spans="1:6">
      <c r="A67" t="s">
        <v>68</v>
      </c>
      <c r="B67" t="s">
        <v>204</v>
      </c>
      <c r="C67" s="4">
        <v>29013</v>
      </c>
      <c r="D67" t="s">
        <v>205</v>
      </c>
      <c r="E67" s="4">
        <v>39873</v>
      </c>
      <c r="F67">
        <v>70000</v>
      </c>
    </row>
    <row r="68" spans="1:6">
      <c r="A68" t="s">
        <v>53</v>
      </c>
      <c r="B68" t="s">
        <v>206</v>
      </c>
      <c r="C68" s="4">
        <v>34961</v>
      </c>
      <c r="D68" t="s">
        <v>207</v>
      </c>
      <c r="E68" s="4">
        <v>44348</v>
      </c>
      <c r="F68">
        <v>34000</v>
      </c>
    </row>
    <row r="69" spans="1:6">
      <c r="A69" t="s">
        <v>208</v>
      </c>
      <c r="B69" t="s">
        <v>209</v>
      </c>
      <c r="C69" s="4">
        <v>31379</v>
      </c>
      <c r="D69" t="s">
        <v>210</v>
      </c>
      <c r="E69" s="4">
        <v>41852</v>
      </c>
      <c r="F69">
        <v>51000</v>
      </c>
    </row>
    <row r="70" spans="1:6">
      <c r="A70" t="s">
        <v>119</v>
      </c>
      <c r="B70" t="s">
        <v>211</v>
      </c>
      <c r="C70" s="4">
        <v>33280</v>
      </c>
      <c r="D70" t="s">
        <v>212</v>
      </c>
      <c r="E70" s="4">
        <v>43374</v>
      </c>
      <c r="F70">
        <v>46000</v>
      </c>
    </row>
    <row r="71" spans="1:6">
      <c r="A71" t="s">
        <v>213</v>
      </c>
      <c r="B71" t="s">
        <v>214</v>
      </c>
      <c r="C71" s="4">
        <v>35891</v>
      </c>
      <c r="D71" t="s">
        <v>215</v>
      </c>
      <c r="E71" s="4">
        <v>44958</v>
      </c>
      <c r="F71">
        <v>28000</v>
      </c>
    </row>
    <row r="72" spans="1:6">
      <c r="A72" t="s">
        <v>77</v>
      </c>
      <c r="B72" t="s">
        <v>216</v>
      </c>
      <c r="C72" s="4">
        <v>31971</v>
      </c>
      <c r="D72" t="s">
        <v>217</v>
      </c>
      <c r="E72" s="4">
        <v>42491</v>
      </c>
      <c r="F72">
        <v>44000</v>
      </c>
    </row>
    <row r="73" spans="1:6">
      <c r="A73" t="s">
        <v>218</v>
      </c>
      <c r="B73" t="s">
        <v>219</v>
      </c>
      <c r="C73" s="4">
        <v>29981</v>
      </c>
      <c r="D73" t="s">
        <v>220</v>
      </c>
      <c r="E73" s="4">
        <v>40848</v>
      </c>
      <c r="F73">
        <v>59000</v>
      </c>
    </row>
    <row r="74" spans="1:6">
      <c r="A74" t="s">
        <v>41</v>
      </c>
      <c r="B74" t="s">
        <v>221</v>
      </c>
      <c r="C74" s="4">
        <v>34250</v>
      </c>
      <c r="D74" t="s">
        <v>222</v>
      </c>
      <c r="E74" s="4">
        <v>43525</v>
      </c>
      <c r="F74">
        <v>35000</v>
      </c>
    </row>
    <row r="75" spans="1:6">
      <c r="A75" t="s">
        <v>32</v>
      </c>
      <c r="B75" t="s">
        <v>223</v>
      </c>
      <c r="C75" s="4">
        <v>28841</v>
      </c>
      <c r="D75" t="s">
        <v>224</v>
      </c>
      <c r="E75" s="4">
        <v>39448</v>
      </c>
      <c r="F75">
        <v>76000</v>
      </c>
    </row>
    <row r="76" spans="1:6">
      <c r="A76" t="s">
        <v>161</v>
      </c>
      <c r="B76" t="s">
        <v>225</v>
      </c>
      <c r="C76" s="4">
        <v>35211</v>
      </c>
      <c r="D76" t="s">
        <v>226</v>
      </c>
      <c r="E76" s="4">
        <v>44440</v>
      </c>
      <c r="F76">
        <v>36000</v>
      </c>
    </row>
    <row r="77" spans="1:6">
      <c r="A77" t="s">
        <v>98</v>
      </c>
      <c r="B77" t="s">
        <v>227</v>
      </c>
      <c r="C77" s="4">
        <v>30745</v>
      </c>
      <c r="D77" t="s">
        <v>228</v>
      </c>
      <c r="E77" s="4">
        <v>41306</v>
      </c>
      <c r="F77">
        <v>52000</v>
      </c>
    </row>
    <row r="78" spans="1:6">
      <c r="A78" t="s">
        <v>113</v>
      </c>
      <c r="B78" t="s">
        <v>229</v>
      </c>
      <c r="C78" s="4">
        <v>35654</v>
      </c>
      <c r="D78" t="s">
        <v>230</v>
      </c>
      <c r="E78" s="4">
        <v>44652</v>
      </c>
      <c r="F78">
        <v>30000</v>
      </c>
    </row>
    <row r="79" spans="1:6">
      <c r="A79" t="s">
        <v>231</v>
      </c>
      <c r="B79" t="s">
        <v>232</v>
      </c>
      <c r="C79" s="4">
        <v>32780</v>
      </c>
      <c r="D79" t="s">
        <v>233</v>
      </c>
      <c r="E79" s="4">
        <v>42887</v>
      </c>
      <c r="F79">
        <v>48000</v>
      </c>
    </row>
    <row r="80" spans="1:6">
      <c r="A80" t="s">
        <v>234</v>
      </c>
      <c r="B80" t="s">
        <v>235</v>
      </c>
      <c r="C80" s="4">
        <v>33953</v>
      </c>
      <c r="D80" t="s">
        <v>236</v>
      </c>
      <c r="E80" s="4">
        <v>43466</v>
      </c>
      <c r="F80">
        <v>42000</v>
      </c>
    </row>
    <row r="81" spans="1:6">
      <c r="A81" t="s">
        <v>237</v>
      </c>
      <c r="B81" t="s">
        <v>238</v>
      </c>
      <c r="C81" s="4">
        <v>31522</v>
      </c>
      <c r="D81" t="s">
        <v>239</v>
      </c>
      <c r="E81" s="4">
        <v>41883</v>
      </c>
      <c r="F81">
        <v>50000</v>
      </c>
    </row>
    <row r="82" spans="1:6">
      <c r="A82" t="s">
        <v>35</v>
      </c>
      <c r="B82" t="s">
        <v>240</v>
      </c>
      <c r="C82" s="4">
        <v>34851</v>
      </c>
      <c r="D82" t="s">
        <v>241</v>
      </c>
      <c r="E82" s="4">
        <v>44197</v>
      </c>
      <c r="F82">
        <v>34000</v>
      </c>
    </row>
    <row r="83" spans="1:6">
      <c r="A83" t="s">
        <v>242</v>
      </c>
      <c r="B83" t="s">
        <v>243</v>
      </c>
      <c r="C83" s="4">
        <v>29259</v>
      </c>
      <c r="D83" t="s">
        <v>244</v>
      </c>
      <c r="E83" s="4">
        <v>40360</v>
      </c>
      <c r="F83">
        <v>57000</v>
      </c>
    </row>
    <row r="84" spans="1:6">
      <c r="A84" t="s">
        <v>47</v>
      </c>
      <c r="B84" t="s">
        <v>245</v>
      </c>
      <c r="C84" s="4">
        <v>34655</v>
      </c>
      <c r="D84" t="s">
        <v>246</v>
      </c>
      <c r="E84" s="4">
        <v>44105</v>
      </c>
      <c r="F84">
        <v>39000</v>
      </c>
    </row>
    <row r="85" spans="1:6">
      <c r="A85" t="s">
        <v>170</v>
      </c>
      <c r="B85" t="s">
        <v>247</v>
      </c>
      <c r="C85" s="4">
        <v>28250</v>
      </c>
      <c r="D85" t="s">
        <v>248</v>
      </c>
      <c r="E85" s="4">
        <v>38718</v>
      </c>
      <c r="F85">
        <v>88000</v>
      </c>
    </row>
    <row r="86" spans="1:6">
      <c r="A86" t="s">
        <v>101</v>
      </c>
      <c r="B86" t="s">
        <v>249</v>
      </c>
      <c r="C86" s="4">
        <v>36061</v>
      </c>
      <c r="D86" t="s">
        <v>250</v>
      </c>
      <c r="E86" s="4">
        <v>44986</v>
      </c>
      <c r="F86">
        <v>27000</v>
      </c>
    </row>
    <row r="87" spans="1:6">
      <c r="A87" t="s">
        <v>50</v>
      </c>
      <c r="B87" t="s">
        <v>251</v>
      </c>
      <c r="C87" s="4">
        <v>31239</v>
      </c>
      <c r="D87" t="s">
        <v>252</v>
      </c>
      <c r="E87" s="4">
        <v>41654</v>
      </c>
      <c r="F87">
        <v>53000</v>
      </c>
    </row>
    <row r="88" spans="1:6">
      <c r="A88" t="s">
        <v>107</v>
      </c>
      <c r="B88" t="s">
        <v>253</v>
      </c>
      <c r="C88" s="4">
        <v>33244</v>
      </c>
      <c r="D88" t="s">
        <v>254</v>
      </c>
      <c r="E88" s="4">
        <v>43252</v>
      </c>
      <c r="F88">
        <v>46000</v>
      </c>
    </row>
    <row r="89" spans="1:6">
      <c r="A89" t="s">
        <v>17</v>
      </c>
      <c r="B89" t="s">
        <v>255</v>
      </c>
      <c r="C89" s="4">
        <v>30546</v>
      </c>
      <c r="D89" t="s">
        <v>256</v>
      </c>
      <c r="E89" s="4">
        <v>41183</v>
      </c>
      <c r="F89">
        <v>61000</v>
      </c>
    </row>
    <row r="90" spans="1:6">
      <c r="A90" t="s">
        <v>38</v>
      </c>
      <c r="B90" t="s">
        <v>257</v>
      </c>
      <c r="C90" s="4">
        <v>32185</v>
      </c>
      <c r="D90" t="s">
        <v>258</v>
      </c>
      <c r="E90" s="4">
        <v>42522</v>
      </c>
      <c r="F90">
        <v>45000</v>
      </c>
    </row>
    <row r="91" spans="1:6">
      <c r="A91" t="s">
        <v>53</v>
      </c>
      <c r="B91" t="s">
        <v>259</v>
      </c>
      <c r="C91" s="4">
        <v>34889</v>
      </c>
      <c r="D91" t="s">
        <v>260</v>
      </c>
      <c r="E91" s="4">
        <v>44228</v>
      </c>
      <c r="F91">
        <v>34000</v>
      </c>
    </row>
    <row r="92" spans="1:6">
      <c r="A92" t="s">
        <v>56</v>
      </c>
      <c r="B92" t="s">
        <v>261</v>
      </c>
      <c r="C92" s="4">
        <v>30280</v>
      </c>
      <c r="D92" t="s">
        <v>262</v>
      </c>
      <c r="E92" s="4">
        <v>40923</v>
      </c>
      <c r="F92">
        <v>54000</v>
      </c>
    </row>
    <row r="93" spans="1:6">
      <c r="A93" t="s">
        <v>65</v>
      </c>
      <c r="B93" t="s">
        <v>263</v>
      </c>
      <c r="C93" s="4">
        <v>34046</v>
      </c>
      <c r="D93" t="s">
        <v>264</v>
      </c>
      <c r="E93" s="4">
        <v>43709</v>
      </c>
      <c r="F93">
        <v>36000</v>
      </c>
    </row>
    <row r="94" spans="1:6">
      <c r="A94" t="s">
        <v>17</v>
      </c>
      <c r="B94" t="s">
        <v>265</v>
      </c>
      <c r="C94" s="4">
        <v>31659</v>
      </c>
      <c r="D94" t="s">
        <v>266</v>
      </c>
      <c r="E94" s="4">
        <v>42125</v>
      </c>
      <c r="F94">
        <v>52000</v>
      </c>
    </row>
    <row r="95" spans="1:6">
      <c r="A95" t="s">
        <v>41</v>
      </c>
      <c r="B95" t="s">
        <v>267</v>
      </c>
      <c r="C95" s="4">
        <v>35451</v>
      </c>
      <c r="D95" t="s">
        <v>268</v>
      </c>
      <c r="E95" s="4">
        <v>44835</v>
      </c>
      <c r="F95">
        <v>33000</v>
      </c>
    </row>
    <row r="96" spans="1:6">
      <c r="A96" t="s">
        <v>68</v>
      </c>
      <c r="B96" t="s">
        <v>90</v>
      </c>
      <c r="C96" s="4">
        <v>29371</v>
      </c>
      <c r="D96" t="s">
        <v>269</v>
      </c>
      <c r="E96" s="4">
        <v>40269</v>
      </c>
      <c r="F96">
        <v>57000</v>
      </c>
    </row>
    <row r="97" spans="1:6">
      <c r="A97" t="s">
        <v>71</v>
      </c>
      <c r="B97" t="s">
        <v>270</v>
      </c>
      <c r="C97" s="4">
        <v>34674</v>
      </c>
      <c r="D97" t="s">
        <v>271</v>
      </c>
      <c r="E97" s="4">
        <v>43983</v>
      </c>
      <c r="F97">
        <v>35000</v>
      </c>
    </row>
    <row r="98" spans="1:6">
      <c r="A98" t="s">
        <v>134</v>
      </c>
      <c r="B98" t="s">
        <v>150</v>
      </c>
      <c r="C98" s="4">
        <v>32734</v>
      </c>
      <c r="D98" t="s">
        <v>272</v>
      </c>
      <c r="E98" s="4">
        <v>42795</v>
      </c>
      <c r="F98">
        <v>60000</v>
      </c>
    </row>
    <row r="99" spans="1:6">
      <c r="A99" t="s">
        <v>119</v>
      </c>
      <c r="B99" t="s">
        <v>273</v>
      </c>
      <c r="C99" s="4">
        <v>35183</v>
      </c>
      <c r="D99" t="s">
        <v>274</v>
      </c>
      <c r="E99" s="4">
        <v>44501</v>
      </c>
      <c r="F99">
        <v>32000</v>
      </c>
    </row>
    <row r="100" spans="1:6">
      <c r="A100" t="s">
        <v>32</v>
      </c>
      <c r="B100" t="s">
        <v>275</v>
      </c>
      <c r="C100" s="4">
        <v>31947</v>
      </c>
      <c r="D100" t="s">
        <v>276</v>
      </c>
      <c r="E100" s="4">
        <v>42614</v>
      </c>
      <c r="F100">
        <v>58000</v>
      </c>
    </row>
    <row r="101" spans="1:6">
      <c r="A101" t="s">
        <v>277</v>
      </c>
      <c r="B101" t="s">
        <v>278</v>
      </c>
      <c r="C101" s="4">
        <v>37269</v>
      </c>
      <c r="D101" t="s">
        <v>279</v>
      </c>
      <c r="E101" s="4">
        <v>42584</v>
      </c>
      <c r="F101">
        <v>40999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AA6C-1B6F-4251-8292-DE1401D77095}">
  <dimension ref="A1:I100"/>
  <sheetViews>
    <sheetView topLeftCell="D81" workbookViewId="0">
      <selection activeCell="I38" sqref="I38"/>
    </sheetView>
  </sheetViews>
  <sheetFormatPr defaultRowHeight="15"/>
  <cols>
    <col min="1" max="1" width="10.42578125" bestFit="1" customWidth="1"/>
    <col min="2" max="2" width="11.7109375" bestFit="1" customWidth="1"/>
    <col min="3" max="3" width="13.7109375" bestFit="1" customWidth="1"/>
    <col min="4" max="4" width="34.7109375" bestFit="1" customWidth="1"/>
    <col min="5" max="5" width="17.140625" bestFit="1" customWidth="1"/>
    <col min="6" max="6" width="15.140625" bestFit="1" customWidth="1"/>
    <col min="7" max="7" width="11.140625" style="6" bestFit="1" customWidth="1"/>
    <col min="8" max="8" width="11.140625" style="7" bestFit="1" customWidth="1"/>
    <col min="9" max="9" width="24.7109375" bestFit="1" customWidth="1"/>
  </cols>
  <sheetData>
    <row r="1" spans="1:9">
      <c r="A1" s="3" t="s">
        <v>1</v>
      </c>
      <c r="B1" t="s">
        <v>2</v>
      </c>
      <c r="C1" t="s">
        <v>13</v>
      </c>
      <c r="D1" t="s">
        <v>14</v>
      </c>
      <c r="E1" t="s">
        <v>15</v>
      </c>
      <c r="F1" t="s">
        <v>16</v>
      </c>
      <c r="G1" s="6" t="s">
        <v>280</v>
      </c>
      <c r="H1" s="7" t="s">
        <v>281</v>
      </c>
      <c r="I1" t="s">
        <v>282</v>
      </c>
    </row>
    <row r="2" spans="1:9">
      <c r="A2" s="3" t="s">
        <v>17</v>
      </c>
      <c r="B2" t="s">
        <v>18</v>
      </c>
      <c r="C2" s="4">
        <v>31118</v>
      </c>
      <c r="D2" t="s">
        <v>19</v>
      </c>
      <c r="E2" s="4">
        <v>42156</v>
      </c>
      <c r="F2">
        <v>52000</v>
      </c>
      <c r="G2" s="6">
        <f ca="1">YEAR(TODAY())-YEAR(C2)</f>
        <v>41</v>
      </c>
      <c r="H2" s="7">
        <f ca="1">YEAR(TODAY())-YEAR(E2)</f>
        <v>11</v>
      </c>
      <c r="I2">
        <f ca="1">IF(H2&lt;5,0, IF(H2&lt;10,F2*5%, IF(H2&lt;15,F2*10%, IF(H2&lt;20,F2*15%,0))))</f>
        <v>5200</v>
      </c>
    </row>
    <row r="3" spans="1:9">
      <c r="A3" s="3" t="s">
        <v>20</v>
      </c>
      <c r="B3" t="s">
        <v>21</v>
      </c>
      <c r="C3" s="4">
        <v>33076</v>
      </c>
      <c r="D3" t="s">
        <v>22</v>
      </c>
      <c r="E3" s="4">
        <v>43358</v>
      </c>
      <c r="F3">
        <v>38000</v>
      </c>
      <c r="G3" s="6">
        <f t="shared" ref="G3:G66" ca="1" si="0">YEAR(TODAY())-YEAR(C3)</f>
        <v>36</v>
      </c>
      <c r="H3" s="7">
        <f t="shared" ref="H3:H66" ca="1" si="1">YEAR(TODAY())-YEAR(E3)</f>
        <v>8</v>
      </c>
      <c r="I3">
        <f t="shared" ref="I3:I66" ca="1" si="2">IF(H3&lt;5,0, IF(H3&lt;10,F3*5%, IF(H3&lt;15,F3*10%, IF(H3&lt;20,F3*15%,0))))</f>
        <v>1900</v>
      </c>
    </row>
    <row r="4" spans="1:9">
      <c r="A4" s="3" t="s">
        <v>23</v>
      </c>
      <c r="B4" t="s">
        <v>24</v>
      </c>
      <c r="C4" s="4">
        <v>33613</v>
      </c>
      <c r="D4" t="s">
        <v>25</v>
      </c>
      <c r="E4" s="4">
        <v>43497</v>
      </c>
      <c r="F4">
        <v>36000</v>
      </c>
      <c r="G4" s="6">
        <f t="shared" ca="1" si="0"/>
        <v>34</v>
      </c>
      <c r="H4" s="7">
        <f t="shared" ca="1" si="1"/>
        <v>7</v>
      </c>
      <c r="I4">
        <f t="shared" ca="1" si="2"/>
        <v>1800</v>
      </c>
    </row>
    <row r="5" spans="1:9" ht="30.75">
      <c r="A5" s="3" t="s">
        <v>26</v>
      </c>
      <c r="B5" t="s">
        <v>27</v>
      </c>
      <c r="C5" s="4">
        <v>29530</v>
      </c>
      <c r="D5" t="s">
        <v>28</v>
      </c>
      <c r="E5" s="4">
        <v>40188</v>
      </c>
      <c r="F5">
        <v>75000</v>
      </c>
      <c r="G5" s="6">
        <f t="shared" ca="1" si="0"/>
        <v>46</v>
      </c>
      <c r="H5" s="7">
        <f t="shared" ca="1" si="1"/>
        <v>16</v>
      </c>
      <c r="I5">
        <f t="shared" ca="1" si="2"/>
        <v>11250</v>
      </c>
    </row>
    <row r="6" spans="1:9">
      <c r="A6" s="3" t="s">
        <v>29</v>
      </c>
      <c r="B6" t="s">
        <v>30</v>
      </c>
      <c r="C6" s="4">
        <v>34807</v>
      </c>
      <c r="D6" t="s">
        <v>31</v>
      </c>
      <c r="E6" s="4">
        <v>44256</v>
      </c>
      <c r="F6">
        <v>33000</v>
      </c>
      <c r="G6" s="6">
        <f t="shared" ca="1" si="0"/>
        <v>31</v>
      </c>
      <c r="H6" s="7">
        <f t="shared" ca="1" si="1"/>
        <v>5</v>
      </c>
      <c r="I6">
        <f t="shared" ca="1" si="2"/>
        <v>1650</v>
      </c>
    </row>
    <row r="7" spans="1:9">
      <c r="A7" s="3" t="s">
        <v>32</v>
      </c>
      <c r="B7" t="s">
        <v>33</v>
      </c>
      <c r="C7" s="4">
        <v>32416</v>
      </c>
      <c r="D7" t="s">
        <v>34</v>
      </c>
      <c r="E7" s="4">
        <v>42870</v>
      </c>
      <c r="F7">
        <v>42000</v>
      </c>
      <c r="G7" s="6">
        <f t="shared" ca="1" si="0"/>
        <v>38</v>
      </c>
      <c r="H7" s="7">
        <f t="shared" ca="1" si="1"/>
        <v>9</v>
      </c>
      <c r="I7">
        <f t="shared" ca="1" si="2"/>
        <v>2100</v>
      </c>
    </row>
    <row r="8" spans="1:9">
      <c r="A8" s="3" t="s">
        <v>35</v>
      </c>
      <c r="B8" t="s">
        <v>36</v>
      </c>
      <c r="C8" s="4">
        <v>34145</v>
      </c>
      <c r="D8" t="s">
        <v>37</v>
      </c>
      <c r="E8" s="4">
        <v>43871</v>
      </c>
      <c r="F8">
        <v>32000</v>
      </c>
      <c r="G8" s="6">
        <f t="shared" ca="1" si="0"/>
        <v>33</v>
      </c>
      <c r="H8" s="7">
        <f t="shared" ca="1" si="1"/>
        <v>6</v>
      </c>
      <c r="I8">
        <f t="shared" ca="1" si="2"/>
        <v>1600</v>
      </c>
    </row>
    <row r="9" spans="1:9">
      <c r="A9" s="3" t="s">
        <v>38</v>
      </c>
      <c r="B9" t="s">
        <v>39</v>
      </c>
      <c r="C9" s="4">
        <v>31760</v>
      </c>
      <c r="D9" t="s">
        <v>40</v>
      </c>
      <c r="E9" s="4">
        <v>42461</v>
      </c>
      <c r="F9">
        <v>48000</v>
      </c>
      <c r="G9" s="6">
        <f t="shared" ca="1" si="0"/>
        <v>40</v>
      </c>
      <c r="H9" s="7">
        <f t="shared" ca="1" si="1"/>
        <v>10</v>
      </c>
      <c r="I9">
        <f t="shared" ca="1" si="2"/>
        <v>4800</v>
      </c>
    </row>
    <row r="10" spans="1:9">
      <c r="A10" s="3" t="s">
        <v>41</v>
      </c>
      <c r="B10" t="s">
        <v>42</v>
      </c>
      <c r="C10" s="4">
        <v>33459</v>
      </c>
      <c r="D10" t="s">
        <v>43</v>
      </c>
      <c r="E10" s="4">
        <v>43647</v>
      </c>
      <c r="F10">
        <v>40000</v>
      </c>
      <c r="G10" s="6">
        <f t="shared" ca="1" si="0"/>
        <v>35</v>
      </c>
      <c r="H10" s="7">
        <f t="shared" ca="1" si="1"/>
        <v>7</v>
      </c>
      <c r="I10">
        <f t="shared" ca="1" si="2"/>
        <v>2000</v>
      </c>
    </row>
    <row r="11" spans="1:9">
      <c r="A11" s="3" t="s">
        <v>44</v>
      </c>
      <c r="B11" t="s">
        <v>45</v>
      </c>
      <c r="C11" s="4">
        <v>30732</v>
      </c>
      <c r="D11" t="s">
        <v>46</v>
      </c>
      <c r="E11" s="4">
        <v>41348</v>
      </c>
      <c r="F11">
        <v>55000</v>
      </c>
      <c r="G11" s="6">
        <f t="shared" ca="1" si="0"/>
        <v>42</v>
      </c>
      <c r="H11" s="7">
        <f t="shared" ca="1" si="1"/>
        <v>13</v>
      </c>
      <c r="I11">
        <f t="shared" ca="1" si="2"/>
        <v>5500</v>
      </c>
    </row>
    <row r="12" spans="1:9">
      <c r="A12" s="3" t="s">
        <v>47</v>
      </c>
      <c r="B12" t="s">
        <v>48</v>
      </c>
      <c r="C12" s="4">
        <v>35341</v>
      </c>
      <c r="D12" t="s">
        <v>49</v>
      </c>
      <c r="E12" s="4">
        <v>44440</v>
      </c>
      <c r="F12">
        <v>31000</v>
      </c>
      <c r="G12" s="6">
        <f t="shared" ca="1" si="0"/>
        <v>30</v>
      </c>
      <c r="H12" s="7">
        <f t="shared" ca="1" si="1"/>
        <v>5</v>
      </c>
      <c r="I12">
        <f t="shared" ca="1" si="2"/>
        <v>1550</v>
      </c>
    </row>
    <row r="13" spans="1:9">
      <c r="A13" s="3" t="s">
        <v>50</v>
      </c>
      <c r="B13" t="s">
        <v>51</v>
      </c>
      <c r="C13" s="4">
        <v>31924</v>
      </c>
      <c r="D13" t="s">
        <v>52</v>
      </c>
      <c r="E13" s="4">
        <v>42309</v>
      </c>
      <c r="F13">
        <v>43000</v>
      </c>
      <c r="G13" s="6">
        <f t="shared" ca="1" si="0"/>
        <v>39</v>
      </c>
      <c r="H13" s="7">
        <f t="shared" ca="1" si="1"/>
        <v>11</v>
      </c>
      <c r="I13">
        <f t="shared" ca="1" si="2"/>
        <v>4300</v>
      </c>
    </row>
    <row r="14" spans="1:9">
      <c r="A14" s="3" t="s">
        <v>53</v>
      </c>
      <c r="B14" t="s">
        <v>54</v>
      </c>
      <c r="C14" s="4">
        <v>34350</v>
      </c>
      <c r="D14" t="s">
        <v>55</v>
      </c>
      <c r="E14" s="4">
        <v>43983</v>
      </c>
      <c r="F14">
        <v>35000</v>
      </c>
      <c r="G14" s="6">
        <f t="shared" ca="1" si="0"/>
        <v>32</v>
      </c>
      <c r="H14" s="7">
        <f t="shared" ca="1" si="1"/>
        <v>6</v>
      </c>
      <c r="I14">
        <f t="shared" ca="1" si="2"/>
        <v>1750</v>
      </c>
    </row>
    <row r="15" spans="1:9" ht="30.75">
      <c r="A15" s="3" t="s">
        <v>56</v>
      </c>
      <c r="B15" t="s">
        <v>57</v>
      </c>
      <c r="C15" s="4">
        <v>30140</v>
      </c>
      <c r="D15" t="s">
        <v>58</v>
      </c>
      <c r="E15" s="4">
        <v>39814</v>
      </c>
      <c r="F15">
        <v>80000</v>
      </c>
      <c r="G15" s="6">
        <f t="shared" ca="1" si="0"/>
        <v>44</v>
      </c>
      <c r="H15" s="7">
        <f t="shared" ca="1" si="1"/>
        <v>17</v>
      </c>
      <c r="I15">
        <f t="shared" ca="1" si="2"/>
        <v>12000</v>
      </c>
    </row>
    <row r="16" spans="1:9">
      <c r="A16" s="3" t="s">
        <v>59</v>
      </c>
      <c r="B16" t="s">
        <v>60</v>
      </c>
      <c r="C16" s="4">
        <v>35763</v>
      </c>
      <c r="D16" t="s">
        <v>61</v>
      </c>
      <c r="E16" s="4">
        <v>44593</v>
      </c>
      <c r="F16">
        <v>28000</v>
      </c>
      <c r="G16" s="6">
        <f t="shared" ca="1" si="0"/>
        <v>29</v>
      </c>
      <c r="H16" s="7">
        <f t="shared" ca="1" si="1"/>
        <v>4</v>
      </c>
      <c r="I16">
        <f t="shared" ca="1" si="2"/>
        <v>0</v>
      </c>
    </row>
    <row r="17" spans="1:9">
      <c r="A17" s="3" t="s">
        <v>62</v>
      </c>
      <c r="B17" t="s">
        <v>63</v>
      </c>
      <c r="C17" s="4">
        <v>32571</v>
      </c>
      <c r="D17" t="s">
        <v>64</v>
      </c>
      <c r="E17" s="4">
        <v>43374</v>
      </c>
      <c r="F17">
        <v>46000</v>
      </c>
      <c r="G17" s="6">
        <f t="shared" ca="1" si="0"/>
        <v>37</v>
      </c>
      <c r="H17" s="7">
        <f t="shared" ca="1" si="1"/>
        <v>8</v>
      </c>
      <c r="I17">
        <f t="shared" ca="1" si="2"/>
        <v>2300</v>
      </c>
    </row>
    <row r="18" spans="1:9">
      <c r="A18" s="3" t="s">
        <v>65</v>
      </c>
      <c r="B18" t="s">
        <v>66</v>
      </c>
      <c r="C18" s="4">
        <v>33959</v>
      </c>
      <c r="D18" t="s">
        <v>67</v>
      </c>
      <c r="E18" s="4">
        <v>43586</v>
      </c>
      <c r="F18">
        <v>34000</v>
      </c>
      <c r="G18" s="6">
        <f t="shared" ca="1" si="0"/>
        <v>34</v>
      </c>
      <c r="H18" s="7">
        <f t="shared" ca="1" si="1"/>
        <v>7</v>
      </c>
      <c r="I18">
        <f t="shared" ca="1" si="2"/>
        <v>1700</v>
      </c>
    </row>
    <row r="19" spans="1:9">
      <c r="A19" s="3" t="s">
        <v>68</v>
      </c>
      <c r="B19" t="s">
        <v>69</v>
      </c>
      <c r="C19" s="4">
        <v>28652</v>
      </c>
      <c r="D19" t="s">
        <v>70</v>
      </c>
      <c r="E19" s="4">
        <v>39539</v>
      </c>
      <c r="F19">
        <v>62000</v>
      </c>
      <c r="G19" s="6">
        <f t="shared" ca="1" si="0"/>
        <v>48</v>
      </c>
      <c r="H19" s="7">
        <f t="shared" ca="1" si="1"/>
        <v>18</v>
      </c>
      <c r="I19">
        <f t="shared" ca="1" si="2"/>
        <v>9300</v>
      </c>
    </row>
    <row r="20" spans="1:9">
      <c r="A20" s="3" t="s">
        <v>71</v>
      </c>
      <c r="B20" t="s">
        <v>72</v>
      </c>
      <c r="C20" s="4">
        <v>34959</v>
      </c>
      <c r="D20" t="s">
        <v>73</v>
      </c>
      <c r="E20" s="4">
        <v>44211</v>
      </c>
      <c r="F20">
        <v>30000</v>
      </c>
      <c r="G20" s="6">
        <f t="shared" ca="1" si="0"/>
        <v>31</v>
      </c>
      <c r="H20" s="7">
        <f t="shared" ca="1" si="1"/>
        <v>5</v>
      </c>
      <c r="I20">
        <f t="shared" ca="1" si="2"/>
        <v>1500</v>
      </c>
    </row>
    <row r="21" spans="1:9">
      <c r="A21" s="3" t="s">
        <v>74</v>
      </c>
      <c r="B21" t="s">
        <v>75</v>
      </c>
      <c r="C21" s="4">
        <v>30432</v>
      </c>
      <c r="D21" t="s">
        <v>76</v>
      </c>
      <c r="E21" s="4">
        <v>41153</v>
      </c>
      <c r="F21">
        <v>50000</v>
      </c>
      <c r="G21" s="6">
        <f t="shared" ca="1" si="0"/>
        <v>43</v>
      </c>
      <c r="H21" s="7">
        <f t="shared" ca="1" si="1"/>
        <v>14</v>
      </c>
      <c r="I21">
        <f t="shared" ca="1" si="2"/>
        <v>5000</v>
      </c>
    </row>
    <row r="22" spans="1:9">
      <c r="A22" s="3" t="s">
        <v>77</v>
      </c>
      <c r="B22" t="s">
        <v>78</v>
      </c>
      <c r="C22" s="4">
        <v>32917</v>
      </c>
      <c r="D22" t="s">
        <v>79</v>
      </c>
      <c r="E22" s="4">
        <v>42887</v>
      </c>
      <c r="F22">
        <v>39000</v>
      </c>
      <c r="G22" s="6">
        <f t="shared" ca="1" si="0"/>
        <v>36</v>
      </c>
      <c r="H22" s="7">
        <f t="shared" ca="1" si="1"/>
        <v>9</v>
      </c>
      <c r="I22">
        <f t="shared" ca="1" si="2"/>
        <v>1950</v>
      </c>
    </row>
    <row r="23" spans="1:9">
      <c r="A23" s="3" t="s">
        <v>80</v>
      </c>
      <c r="B23" t="s">
        <v>81</v>
      </c>
      <c r="C23" s="4">
        <v>31625</v>
      </c>
      <c r="D23" t="s">
        <v>82</v>
      </c>
      <c r="E23" s="4">
        <v>41944</v>
      </c>
      <c r="F23">
        <v>47000</v>
      </c>
      <c r="G23" s="6">
        <f t="shared" ca="1" si="0"/>
        <v>40</v>
      </c>
      <c r="H23" s="7">
        <f t="shared" ca="1" si="1"/>
        <v>12</v>
      </c>
      <c r="I23">
        <f t="shared" ca="1" si="2"/>
        <v>4700</v>
      </c>
    </row>
    <row r="24" spans="1:9">
      <c r="A24" s="3" t="s">
        <v>83</v>
      </c>
      <c r="B24" t="s">
        <v>84</v>
      </c>
      <c r="C24" s="4">
        <v>34098</v>
      </c>
      <c r="D24" t="s">
        <v>85</v>
      </c>
      <c r="E24" s="4">
        <v>43891</v>
      </c>
      <c r="F24">
        <v>32000</v>
      </c>
      <c r="G24" s="6">
        <f t="shared" ca="1" si="0"/>
        <v>33</v>
      </c>
      <c r="H24" s="7">
        <f t="shared" ca="1" si="1"/>
        <v>6</v>
      </c>
      <c r="I24">
        <f t="shared" ca="1" si="2"/>
        <v>1600</v>
      </c>
    </row>
    <row r="25" spans="1:9">
      <c r="A25" s="3" t="s">
        <v>86</v>
      </c>
      <c r="B25" t="s">
        <v>87</v>
      </c>
      <c r="C25" s="4">
        <v>29889</v>
      </c>
      <c r="D25" t="s">
        <v>88</v>
      </c>
      <c r="E25" s="4">
        <v>40725</v>
      </c>
      <c r="F25">
        <v>56000</v>
      </c>
      <c r="G25" s="6">
        <f t="shared" ca="1" si="0"/>
        <v>45</v>
      </c>
      <c r="H25" s="7">
        <f t="shared" ca="1" si="1"/>
        <v>15</v>
      </c>
      <c r="I25">
        <f t="shared" ca="1" si="2"/>
        <v>8400</v>
      </c>
    </row>
    <row r="26" spans="1:9">
      <c r="A26" s="3" t="s">
        <v>89</v>
      </c>
      <c r="B26" t="s">
        <v>90</v>
      </c>
      <c r="C26" s="4">
        <v>35260</v>
      </c>
      <c r="D26" t="s">
        <v>91</v>
      </c>
      <c r="E26" s="4">
        <v>44571</v>
      </c>
      <c r="F26">
        <v>29000</v>
      </c>
      <c r="G26" s="6">
        <f t="shared" ca="1" si="0"/>
        <v>30</v>
      </c>
      <c r="H26" s="7">
        <f t="shared" ca="1" si="1"/>
        <v>4</v>
      </c>
      <c r="I26">
        <f t="shared" ca="1" si="2"/>
        <v>0</v>
      </c>
    </row>
    <row r="27" spans="1:9">
      <c r="A27" s="3" t="s">
        <v>92</v>
      </c>
      <c r="B27" t="s">
        <v>93</v>
      </c>
      <c r="C27" s="4">
        <v>32165</v>
      </c>
      <c r="D27" t="s">
        <v>94</v>
      </c>
      <c r="E27" s="4">
        <v>42826</v>
      </c>
      <c r="F27">
        <v>48000</v>
      </c>
      <c r="G27" s="6">
        <f t="shared" ca="1" si="0"/>
        <v>38</v>
      </c>
      <c r="H27" s="7">
        <f t="shared" ca="1" si="1"/>
        <v>9</v>
      </c>
      <c r="I27">
        <f t="shared" ca="1" si="2"/>
        <v>2400</v>
      </c>
    </row>
    <row r="28" spans="1:9">
      <c r="A28" s="3" t="s">
        <v>95</v>
      </c>
      <c r="B28" t="s">
        <v>96</v>
      </c>
      <c r="C28" s="4">
        <v>34426</v>
      </c>
      <c r="D28" t="s">
        <v>97</v>
      </c>
      <c r="E28" s="4">
        <v>44075</v>
      </c>
      <c r="F28">
        <v>37000</v>
      </c>
      <c r="G28" s="6">
        <f t="shared" ca="1" si="0"/>
        <v>32</v>
      </c>
      <c r="H28" s="7">
        <f t="shared" ca="1" si="1"/>
        <v>6</v>
      </c>
      <c r="I28">
        <f t="shared" ca="1" si="2"/>
        <v>1850</v>
      </c>
    </row>
    <row r="29" spans="1:9">
      <c r="A29" s="3" t="s">
        <v>98</v>
      </c>
      <c r="B29" t="s">
        <v>99</v>
      </c>
      <c r="C29" s="4">
        <v>29208</v>
      </c>
      <c r="D29" t="s">
        <v>100</v>
      </c>
      <c r="E29" s="4">
        <v>39114</v>
      </c>
      <c r="F29">
        <v>78000</v>
      </c>
      <c r="G29" s="6">
        <f t="shared" ca="1" si="0"/>
        <v>47</v>
      </c>
      <c r="H29" s="7">
        <f t="shared" ca="1" si="1"/>
        <v>19</v>
      </c>
      <c r="I29">
        <f t="shared" ca="1" si="2"/>
        <v>11700</v>
      </c>
    </row>
    <row r="30" spans="1:9">
      <c r="A30" s="3" t="s">
        <v>101</v>
      </c>
      <c r="B30" t="s">
        <v>102</v>
      </c>
      <c r="C30" s="4">
        <v>35516</v>
      </c>
      <c r="D30" t="s">
        <v>103</v>
      </c>
      <c r="E30" s="4">
        <v>44713</v>
      </c>
      <c r="F30">
        <v>27000</v>
      </c>
      <c r="G30" s="6">
        <f t="shared" ca="1" si="0"/>
        <v>29</v>
      </c>
      <c r="H30" s="7">
        <f t="shared" ca="1" si="1"/>
        <v>4</v>
      </c>
      <c r="I30">
        <f t="shared" ca="1" si="2"/>
        <v>0</v>
      </c>
    </row>
    <row r="31" spans="1:9">
      <c r="A31" s="3" t="s">
        <v>104</v>
      </c>
      <c r="B31" t="s">
        <v>105</v>
      </c>
      <c r="C31" s="4">
        <v>31204</v>
      </c>
      <c r="D31" t="s">
        <v>106</v>
      </c>
      <c r="E31" s="4">
        <v>42248</v>
      </c>
      <c r="F31">
        <v>52000</v>
      </c>
      <c r="G31" s="6">
        <f t="shared" ca="1" si="0"/>
        <v>41</v>
      </c>
      <c r="H31" s="7">
        <f t="shared" ca="1" si="1"/>
        <v>11</v>
      </c>
      <c r="I31">
        <f t="shared" ca="1" si="2"/>
        <v>5200</v>
      </c>
    </row>
    <row r="32" spans="1:9">
      <c r="A32" s="3" t="s">
        <v>107</v>
      </c>
      <c r="B32" t="s">
        <v>108</v>
      </c>
      <c r="C32" s="4">
        <v>33554</v>
      </c>
      <c r="D32" t="s">
        <v>109</v>
      </c>
      <c r="E32" s="4">
        <v>43115</v>
      </c>
      <c r="F32">
        <v>45000</v>
      </c>
      <c r="G32" s="6">
        <f t="shared" ca="1" si="0"/>
        <v>35</v>
      </c>
      <c r="H32" s="7">
        <f t="shared" ca="1" si="1"/>
        <v>8</v>
      </c>
      <c r="I32">
        <f t="shared" ca="1" si="2"/>
        <v>2250</v>
      </c>
    </row>
    <row r="33" spans="1:9">
      <c r="A33" s="3" t="s">
        <v>110</v>
      </c>
      <c r="B33" t="s">
        <v>111</v>
      </c>
      <c r="C33" s="4">
        <v>30355</v>
      </c>
      <c r="D33" t="s">
        <v>112</v>
      </c>
      <c r="E33" s="4">
        <v>41030</v>
      </c>
      <c r="F33">
        <v>54000</v>
      </c>
      <c r="G33" s="6">
        <f t="shared" ca="1" si="0"/>
        <v>43</v>
      </c>
      <c r="H33" s="7">
        <f t="shared" ca="1" si="1"/>
        <v>14</v>
      </c>
      <c r="I33">
        <f t="shared" ca="1" si="2"/>
        <v>5400</v>
      </c>
    </row>
    <row r="34" spans="1:9">
      <c r="A34" s="3" t="s">
        <v>113</v>
      </c>
      <c r="B34" t="s">
        <v>114</v>
      </c>
      <c r="C34" s="4">
        <v>34729</v>
      </c>
      <c r="D34" t="s">
        <v>115</v>
      </c>
      <c r="E34" s="4">
        <v>44287</v>
      </c>
      <c r="F34">
        <v>33000</v>
      </c>
      <c r="G34" s="6">
        <f t="shared" ca="1" si="0"/>
        <v>31</v>
      </c>
      <c r="H34" s="7">
        <f t="shared" ca="1" si="1"/>
        <v>5</v>
      </c>
      <c r="I34">
        <f t="shared" ca="1" si="2"/>
        <v>1650</v>
      </c>
    </row>
    <row r="35" spans="1:9">
      <c r="A35" s="3" t="s">
        <v>116</v>
      </c>
      <c r="B35" t="s">
        <v>117</v>
      </c>
      <c r="C35" s="4">
        <v>32038</v>
      </c>
      <c r="D35" t="s">
        <v>118</v>
      </c>
      <c r="E35" s="4">
        <v>42583</v>
      </c>
      <c r="F35">
        <v>46000</v>
      </c>
      <c r="G35" s="6">
        <f t="shared" ca="1" si="0"/>
        <v>39</v>
      </c>
      <c r="H35" s="7">
        <f t="shared" ca="1" si="1"/>
        <v>10</v>
      </c>
      <c r="I35">
        <f t="shared" ca="1" si="2"/>
        <v>4600</v>
      </c>
    </row>
    <row r="36" spans="1:9" ht="30.75">
      <c r="A36" s="3" t="s">
        <v>119</v>
      </c>
      <c r="B36" t="s">
        <v>120</v>
      </c>
      <c r="C36" s="4">
        <v>33758</v>
      </c>
      <c r="D36" t="s">
        <v>121</v>
      </c>
      <c r="E36" s="4">
        <v>43739</v>
      </c>
      <c r="F36">
        <v>36000</v>
      </c>
      <c r="G36" s="6">
        <f t="shared" ca="1" si="0"/>
        <v>34</v>
      </c>
      <c r="H36" s="7">
        <f t="shared" ca="1" si="1"/>
        <v>7</v>
      </c>
      <c r="I36">
        <f t="shared" ca="1" si="2"/>
        <v>1800</v>
      </c>
    </row>
    <row r="37" spans="1:9">
      <c r="A37" s="3" t="s">
        <v>122</v>
      </c>
      <c r="B37" t="s">
        <v>123</v>
      </c>
      <c r="C37" s="4">
        <v>29295</v>
      </c>
      <c r="D37" t="s">
        <v>124</v>
      </c>
      <c r="E37" s="4">
        <v>40330</v>
      </c>
      <c r="F37">
        <v>58000</v>
      </c>
      <c r="G37" s="6">
        <f t="shared" ca="1" si="0"/>
        <v>46</v>
      </c>
      <c r="H37" s="7">
        <f t="shared" ca="1" si="1"/>
        <v>16</v>
      </c>
      <c r="I37">
        <f t="shared" ca="1" si="2"/>
        <v>8700</v>
      </c>
    </row>
    <row r="38" spans="1:9">
      <c r="A38" s="3" t="s">
        <v>125</v>
      </c>
      <c r="B38" t="s">
        <v>126</v>
      </c>
      <c r="C38" s="4">
        <v>35406</v>
      </c>
      <c r="D38" t="s">
        <v>127</v>
      </c>
      <c r="E38" s="4">
        <v>44621</v>
      </c>
      <c r="F38">
        <v>28000</v>
      </c>
      <c r="G38" s="6">
        <f t="shared" ca="1" si="0"/>
        <v>30</v>
      </c>
      <c r="H38" s="7">
        <f t="shared" ca="1" si="1"/>
        <v>4</v>
      </c>
      <c r="I38">
        <f t="shared" ca="1" si="2"/>
        <v>0</v>
      </c>
    </row>
    <row r="39" spans="1:9">
      <c r="A39" s="3" t="s">
        <v>128</v>
      </c>
      <c r="B39" t="s">
        <v>129</v>
      </c>
      <c r="C39" s="4">
        <v>30821</v>
      </c>
      <c r="D39" t="s">
        <v>130</v>
      </c>
      <c r="E39" s="4">
        <v>41518</v>
      </c>
      <c r="F39">
        <v>51000</v>
      </c>
      <c r="G39" s="6">
        <f t="shared" ca="1" si="0"/>
        <v>42</v>
      </c>
      <c r="H39" s="7">
        <f t="shared" ca="1" si="1"/>
        <v>13</v>
      </c>
      <c r="I39">
        <f t="shared" ca="1" si="2"/>
        <v>5100</v>
      </c>
    </row>
    <row r="40" spans="1:9">
      <c r="A40" s="3" t="s">
        <v>131</v>
      </c>
      <c r="B40" t="s">
        <v>132</v>
      </c>
      <c r="C40" s="4">
        <v>34207</v>
      </c>
      <c r="D40" t="s">
        <v>133</v>
      </c>
      <c r="E40" s="4">
        <v>43831</v>
      </c>
      <c r="F40">
        <v>41000</v>
      </c>
      <c r="G40" s="6">
        <f t="shared" ca="1" si="0"/>
        <v>33</v>
      </c>
      <c r="H40" s="7">
        <f t="shared" ca="1" si="1"/>
        <v>6</v>
      </c>
      <c r="I40">
        <f t="shared" ca="1" si="2"/>
        <v>2050</v>
      </c>
    </row>
    <row r="41" spans="1:9">
      <c r="A41" s="3" t="s">
        <v>134</v>
      </c>
      <c r="B41" t="s">
        <v>135</v>
      </c>
      <c r="C41" s="4">
        <v>32814</v>
      </c>
      <c r="D41" t="s">
        <v>136</v>
      </c>
      <c r="E41" s="4">
        <v>42917</v>
      </c>
      <c r="F41">
        <v>44000</v>
      </c>
      <c r="G41" s="6">
        <f t="shared" ca="1" si="0"/>
        <v>37</v>
      </c>
      <c r="H41" s="7">
        <f t="shared" ca="1" si="1"/>
        <v>9</v>
      </c>
      <c r="I41">
        <f t="shared" ca="1" si="2"/>
        <v>2200</v>
      </c>
    </row>
    <row r="42" spans="1:9">
      <c r="A42" s="3" t="s">
        <v>137</v>
      </c>
      <c r="B42" t="s">
        <v>138</v>
      </c>
      <c r="C42" s="4">
        <v>35475</v>
      </c>
      <c r="D42" t="s">
        <v>139</v>
      </c>
      <c r="E42" s="4">
        <v>44682</v>
      </c>
      <c r="F42">
        <v>29000</v>
      </c>
      <c r="G42" s="6">
        <f t="shared" ca="1" si="0"/>
        <v>29</v>
      </c>
      <c r="H42" s="7">
        <f t="shared" ca="1" si="1"/>
        <v>4</v>
      </c>
      <c r="I42">
        <f t="shared" ca="1" si="2"/>
        <v>0</v>
      </c>
    </row>
    <row r="43" spans="1:9">
      <c r="A43" s="3" t="s">
        <v>140</v>
      </c>
      <c r="B43" t="s">
        <v>141</v>
      </c>
      <c r="C43" s="4">
        <v>29765</v>
      </c>
      <c r="D43" t="s">
        <v>142</v>
      </c>
      <c r="E43" s="4">
        <v>40817</v>
      </c>
      <c r="F43">
        <v>56000</v>
      </c>
      <c r="G43" s="6">
        <f t="shared" ca="1" si="0"/>
        <v>45</v>
      </c>
      <c r="H43" s="7">
        <f t="shared" ca="1" si="1"/>
        <v>15</v>
      </c>
      <c r="I43">
        <f t="shared" ca="1" si="2"/>
        <v>8400</v>
      </c>
    </row>
    <row r="44" spans="1:9">
      <c r="A44" s="3" t="s">
        <v>143</v>
      </c>
      <c r="B44" t="s">
        <v>144</v>
      </c>
      <c r="C44" s="4">
        <v>34582</v>
      </c>
      <c r="D44" t="s">
        <v>145</v>
      </c>
      <c r="E44" s="4">
        <v>44136</v>
      </c>
      <c r="F44">
        <v>32000</v>
      </c>
      <c r="G44" s="6">
        <f t="shared" ca="1" si="0"/>
        <v>32</v>
      </c>
      <c r="H44" s="7">
        <f t="shared" ca="1" si="1"/>
        <v>6</v>
      </c>
      <c r="I44">
        <f t="shared" ca="1" si="2"/>
        <v>1600</v>
      </c>
    </row>
    <row r="45" spans="1:9">
      <c r="A45" s="3" t="s">
        <v>146</v>
      </c>
      <c r="B45" t="s">
        <v>147</v>
      </c>
      <c r="C45" s="4">
        <v>31421</v>
      </c>
      <c r="D45" t="s">
        <v>148</v>
      </c>
      <c r="E45" s="4">
        <v>42036</v>
      </c>
      <c r="F45">
        <v>47000</v>
      </c>
      <c r="G45" s="6">
        <f t="shared" ca="1" si="0"/>
        <v>40</v>
      </c>
      <c r="H45" s="7">
        <f t="shared" ca="1" si="1"/>
        <v>11</v>
      </c>
      <c r="I45">
        <f t="shared" ca="1" si="2"/>
        <v>4700</v>
      </c>
    </row>
    <row r="46" spans="1:9">
      <c r="A46" s="3" t="s">
        <v>149</v>
      </c>
      <c r="B46" t="s">
        <v>150</v>
      </c>
      <c r="C46" s="4">
        <v>33705</v>
      </c>
      <c r="D46" t="s">
        <v>151</v>
      </c>
      <c r="E46" s="4">
        <v>43344</v>
      </c>
      <c r="F46">
        <v>38000</v>
      </c>
      <c r="G46" s="6">
        <f t="shared" ca="1" si="0"/>
        <v>34</v>
      </c>
      <c r="H46" s="7">
        <f t="shared" ca="1" si="1"/>
        <v>8</v>
      </c>
      <c r="I46">
        <f t="shared" ca="1" si="2"/>
        <v>1900</v>
      </c>
    </row>
    <row r="47" spans="1:9">
      <c r="A47" s="3" t="s">
        <v>152</v>
      </c>
      <c r="B47" t="s">
        <v>153</v>
      </c>
      <c r="C47" s="4">
        <v>35996</v>
      </c>
      <c r="D47" t="s">
        <v>154</v>
      </c>
      <c r="E47" s="4">
        <v>44986</v>
      </c>
      <c r="F47">
        <v>22000</v>
      </c>
      <c r="G47" s="6">
        <f t="shared" ca="1" si="0"/>
        <v>28</v>
      </c>
      <c r="H47" s="7">
        <f t="shared" ca="1" si="1"/>
        <v>3</v>
      </c>
      <c r="I47">
        <f t="shared" ca="1" si="2"/>
        <v>0</v>
      </c>
    </row>
    <row r="48" spans="1:9">
      <c r="A48" s="3" t="s">
        <v>155</v>
      </c>
      <c r="B48" t="s">
        <v>156</v>
      </c>
      <c r="C48" s="4">
        <v>28399</v>
      </c>
      <c r="D48" t="s">
        <v>157</v>
      </c>
      <c r="E48" s="4">
        <v>38718</v>
      </c>
      <c r="F48">
        <v>72000</v>
      </c>
      <c r="G48" s="6">
        <f t="shared" ca="1" si="0"/>
        <v>49</v>
      </c>
      <c r="H48" s="7">
        <f t="shared" ca="1" si="1"/>
        <v>20</v>
      </c>
      <c r="I48">
        <f t="shared" ca="1" si="2"/>
        <v>0</v>
      </c>
    </row>
    <row r="49" spans="1:9" ht="30.75">
      <c r="A49" s="3" t="s">
        <v>158</v>
      </c>
      <c r="B49" t="s">
        <v>159</v>
      </c>
      <c r="C49" s="4">
        <v>31403</v>
      </c>
      <c r="D49" t="s">
        <v>160</v>
      </c>
      <c r="E49" s="4">
        <v>41791</v>
      </c>
      <c r="F49">
        <v>50000</v>
      </c>
      <c r="G49" s="6">
        <f t="shared" ca="1" si="0"/>
        <v>41</v>
      </c>
      <c r="H49" s="7">
        <f t="shared" ca="1" si="1"/>
        <v>12</v>
      </c>
      <c r="I49">
        <f t="shared" ca="1" si="2"/>
        <v>5000</v>
      </c>
    </row>
    <row r="50" spans="1:9">
      <c r="A50" s="3" t="s">
        <v>161</v>
      </c>
      <c r="B50" t="s">
        <v>162</v>
      </c>
      <c r="C50" s="4">
        <v>35132</v>
      </c>
      <c r="D50" t="s">
        <v>163</v>
      </c>
      <c r="E50" s="4">
        <v>44470</v>
      </c>
      <c r="F50">
        <v>35000</v>
      </c>
      <c r="G50" s="6">
        <f t="shared" ca="1" si="0"/>
        <v>30</v>
      </c>
      <c r="H50" s="7">
        <f t="shared" ca="1" si="1"/>
        <v>5</v>
      </c>
      <c r="I50">
        <f t="shared" ca="1" si="2"/>
        <v>1750</v>
      </c>
    </row>
    <row r="51" spans="1:9">
      <c r="A51" s="3" t="s">
        <v>164</v>
      </c>
      <c r="B51" t="s">
        <v>165</v>
      </c>
      <c r="C51" s="4">
        <v>30179</v>
      </c>
      <c r="D51" t="s">
        <v>166</v>
      </c>
      <c r="E51" s="4">
        <v>40969</v>
      </c>
      <c r="F51">
        <v>54000</v>
      </c>
      <c r="G51" s="6">
        <f t="shared" ca="1" si="0"/>
        <v>44</v>
      </c>
      <c r="H51" s="7">
        <f t="shared" ca="1" si="1"/>
        <v>14</v>
      </c>
      <c r="I51">
        <f t="shared" ca="1" si="2"/>
        <v>5400</v>
      </c>
    </row>
    <row r="52" spans="1:9">
      <c r="A52" s="3" t="s">
        <v>167</v>
      </c>
      <c r="B52" t="s">
        <v>168</v>
      </c>
      <c r="C52" s="4">
        <v>36185</v>
      </c>
      <c r="D52" t="s">
        <v>169</v>
      </c>
      <c r="E52" s="4">
        <v>45078</v>
      </c>
      <c r="F52">
        <v>24000</v>
      </c>
      <c r="G52" s="6">
        <f t="shared" ca="1" si="0"/>
        <v>27</v>
      </c>
      <c r="H52" s="7">
        <f t="shared" ca="1" si="1"/>
        <v>3</v>
      </c>
      <c r="I52">
        <f t="shared" ca="1" si="2"/>
        <v>0</v>
      </c>
    </row>
    <row r="53" spans="1:9">
      <c r="A53" s="3" t="s">
        <v>170</v>
      </c>
      <c r="B53" t="s">
        <v>171</v>
      </c>
      <c r="C53" s="4">
        <v>27854</v>
      </c>
      <c r="D53" t="s">
        <v>172</v>
      </c>
      <c r="E53" s="4">
        <v>38353</v>
      </c>
      <c r="F53">
        <v>95000</v>
      </c>
      <c r="G53" s="6">
        <f t="shared" ca="1" si="0"/>
        <v>50</v>
      </c>
      <c r="H53" s="7">
        <f t="shared" ca="1" si="1"/>
        <v>21</v>
      </c>
      <c r="I53">
        <f t="shared" ca="1" si="2"/>
        <v>0</v>
      </c>
    </row>
    <row r="54" spans="1:9">
      <c r="A54" t="s">
        <v>44</v>
      </c>
      <c r="B54" t="s">
        <v>173</v>
      </c>
      <c r="C54" s="4">
        <v>31791</v>
      </c>
      <c r="D54" t="s">
        <v>174</v>
      </c>
      <c r="E54" s="4">
        <v>42401</v>
      </c>
      <c r="F54">
        <v>47000</v>
      </c>
      <c r="G54" s="6">
        <f t="shared" ca="1" si="0"/>
        <v>39</v>
      </c>
      <c r="H54" s="7">
        <f t="shared" ca="1" si="1"/>
        <v>10</v>
      </c>
      <c r="I54">
        <f t="shared" ca="1" si="2"/>
        <v>4700</v>
      </c>
    </row>
    <row r="55" spans="1:9">
      <c r="A55" t="s">
        <v>175</v>
      </c>
      <c r="B55" t="s">
        <v>176</v>
      </c>
      <c r="C55" s="4">
        <v>34081</v>
      </c>
      <c r="D55" t="s">
        <v>177</v>
      </c>
      <c r="E55" s="4">
        <v>43952</v>
      </c>
      <c r="F55">
        <v>35000</v>
      </c>
      <c r="G55" s="6">
        <f t="shared" ca="1" si="0"/>
        <v>33</v>
      </c>
      <c r="H55" s="7">
        <f t="shared" ca="1" si="1"/>
        <v>6</v>
      </c>
      <c r="I55">
        <f t="shared" ca="1" si="2"/>
        <v>1750</v>
      </c>
    </row>
    <row r="56" spans="1:9">
      <c r="A56" t="s">
        <v>38</v>
      </c>
      <c r="B56" t="s">
        <v>178</v>
      </c>
      <c r="C56" s="4">
        <v>30935</v>
      </c>
      <c r="D56" t="s">
        <v>179</v>
      </c>
      <c r="E56" s="4">
        <v>41426</v>
      </c>
      <c r="F56">
        <v>52000</v>
      </c>
      <c r="G56" s="6">
        <f t="shared" ca="1" si="0"/>
        <v>42</v>
      </c>
      <c r="H56" s="7">
        <f t="shared" ca="1" si="1"/>
        <v>13</v>
      </c>
      <c r="I56">
        <f t="shared" ca="1" si="2"/>
        <v>5200</v>
      </c>
    </row>
    <row r="57" spans="1:9">
      <c r="A57" t="s">
        <v>149</v>
      </c>
      <c r="B57" t="s">
        <v>180</v>
      </c>
      <c r="C57" s="4">
        <v>35006</v>
      </c>
      <c r="D57" t="s">
        <v>181</v>
      </c>
      <c r="E57" s="4">
        <v>44287</v>
      </c>
      <c r="F57">
        <v>33000</v>
      </c>
      <c r="G57" s="6">
        <f t="shared" ca="1" si="0"/>
        <v>31</v>
      </c>
      <c r="H57" s="7">
        <f t="shared" ca="1" si="1"/>
        <v>5</v>
      </c>
      <c r="I57">
        <f t="shared" ca="1" si="2"/>
        <v>1650</v>
      </c>
    </row>
    <row r="58" spans="1:9">
      <c r="A58" t="s">
        <v>62</v>
      </c>
      <c r="B58" t="s">
        <v>182</v>
      </c>
      <c r="C58" s="4">
        <v>32566</v>
      </c>
      <c r="D58" t="s">
        <v>183</v>
      </c>
      <c r="E58" s="4">
        <v>42979</v>
      </c>
      <c r="F58">
        <v>38000</v>
      </c>
      <c r="G58" s="6">
        <f t="shared" ca="1" si="0"/>
        <v>37</v>
      </c>
      <c r="H58" s="7">
        <f t="shared" ca="1" si="1"/>
        <v>9</v>
      </c>
      <c r="I58">
        <f t="shared" ca="1" si="2"/>
        <v>1900</v>
      </c>
    </row>
    <row r="59" spans="1:9">
      <c r="A59" t="s">
        <v>89</v>
      </c>
      <c r="B59" t="s">
        <v>184</v>
      </c>
      <c r="C59" s="4">
        <v>35599</v>
      </c>
      <c r="D59" t="s">
        <v>185</v>
      </c>
      <c r="E59" s="4">
        <v>44743</v>
      </c>
      <c r="F59">
        <v>29000</v>
      </c>
      <c r="G59" s="6">
        <f t="shared" ca="1" si="0"/>
        <v>29</v>
      </c>
      <c r="H59" s="7">
        <f t="shared" ca="1" si="1"/>
        <v>4</v>
      </c>
      <c r="I59">
        <f t="shared" ca="1" si="2"/>
        <v>0</v>
      </c>
    </row>
    <row r="60" spans="1:9">
      <c r="A60" t="s">
        <v>186</v>
      </c>
      <c r="B60" t="s">
        <v>187</v>
      </c>
      <c r="C60" s="4">
        <v>31751</v>
      </c>
      <c r="D60" t="s">
        <v>188</v>
      </c>
      <c r="E60" s="4">
        <v>42278</v>
      </c>
      <c r="F60">
        <v>49000</v>
      </c>
      <c r="G60" s="6">
        <f t="shared" ca="1" si="0"/>
        <v>40</v>
      </c>
      <c r="H60" s="7">
        <f t="shared" ca="1" si="1"/>
        <v>11</v>
      </c>
      <c r="I60">
        <f t="shared" ca="1" si="2"/>
        <v>4900</v>
      </c>
    </row>
    <row r="61" spans="1:9">
      <c r="A61" t="s">
        <v>83</v>
      </c>
      <c r="B61" t="s">
        <v>189</v>
      </c>
      <c r="C61" s="4">
        <v>33672</v>
      </c>
      <c r="D61" t="s">
        <v>190</v>
      </c>
      <c r="E61" s="4">
        <v>43770</v>
      </c>
      <c r="F61">
        <v>34000</v>
      </c>
      <c r="G61" s="6">
        <f t="shared" ca="1" si="0"/>
        <v>34</v>
      </c>
      <c r="H61" s="7">
        <f t="shared" ca="1" si="1"/>
        <v>7</v>
      </c>
      <c r="I61">
        <f t="shared" ca="1" si="2"/>
        <v>1700</v>
      </c>
    </row>
    <row r="62" spans="1:9">
      <c r="A62" t="s">
        <v>191</v>
      </c>
      <c r="B62" t="s">
        <v>192</v>
      </c>
      <c r="C62" s="4">
        <v>29788</v>
      </c>
      <c r="D62" t="s">
        <v>193</v>
      </c>
      <c r="E62" s="4">
        <v>40558</v>
      </c>
      <c r="F62">
        <v>60000</v>
      </c>
      <c r="G62" s="6">
        <f t="shared" ca="1" si="0"/>
        <v>45</v>
      </c>
      <c r="H62" s="7">
        <f t="shared" ca="1" si="1"/>
        <v>15</v>
      </c>
      <c r="I62">
        <f t="shared" ca="1" si="2"/>
        <v>9000</v>
      </c>
    </row>
    <row r="63" spans="1:9">
      <c r="A63" t="s">
        <v>194</v>
      </c>
      <c r="B63" t="s">
        <v>195</v>
      </c>
      <c r="C63" s="4">
        <v>34576</v>
      </c>
      <c r="D63" t="s">
        <v>196</v>
      </c>
      <c r="E63" s="4">
        <v>43862</v>
      </c>
      <c r="F63">
        <v>36000</v>
      </c>
      <c r="G63" s="6">
        <f t="shared" ca="1" si="0"/>
        <v>32</v>
      </c>
      <c r="H63" s="7">
        <f t="shared" ca="1" si="1"/>
        <v>6</v>
      </c>
      <c r="I63">
        <f t="shared" ca="1" si="2"/>
        <v>1800</v>
      </c>
    </row>
    <row r="64" spans="1:9">
      <c r="A64" t="s">
        <v>134</v>
      </c>
      <c r="B64" t="s">
        <v>197</v>
      </c>
      <c r="C64" s="4">
        <v>32279</v>
      </c>
      <c r="D64" t="s">
        <v>198</v>
      </c>
      <c r="E64" s="4">
        <v>42614</v>
      </c>
      <c r="F64">
        <v>45000</v>
      </c>
      <c r="G64" s="6">
        <f t="shared" ca="1" si="0"/>
        <v>38</v>
      </c>
      <c r="H64" s="7">
        <f t="shared" ca="1" si="1"/>
        <v>10</v>
      </c>
      <c r="I64">
        <f t="shared" ca="1" si="2"/>
        <v>4500</v>
      </c>
    </row>
    <row r="65" spans="1:9">
      <c r="A65" t="s">
        <v>199</v>
      </c>
      <c r="B65" t="s">
        <v>200</v>
      </c>
      <c r="C65" s="4">
        <v>30591</v>
      </c>
      <c r="D65" t="s">
        <v>201</v>
      </c>
      <c r="E65" s="4">
        <v>41000</v>
      </c>
      <c r="F65">
        <v>58000</v>
      </c>
      <c r="G65" s="6">
        <f t="shared" ca="1" si="0"/>
        <v>43</v>
      </c>
      <c r="H65" s="7">
        <f t="shared" ca="1" si="1"/>
        <v>14</v>
      </c>
      <c r="I65">
        <f t="shared" ca="1" si="2"/>
        <v>5800</v>
      </c>
    </row>
    <row r="66" spans="1:9">
      <c r="A66" t="s">
        <v>23</v>
      </c>
      <c r="B66" t="s">
        <v>202</v>
      </c>
      <c r="C66" s="4">
        <v>35089</v>
      </c>
      <c r="D66" t="s">
        <v>203</v>
      </c>
      <c r="E66" s="4">
        <v>44571</v>
      </c>
      <c r="F66">
        <v>30000</v>
      </c>
      <c r="G66" s="6">
        <f t="shared" ca="1" si="0"/>
        <v>30</v>
      </c>
      <c r="H66" s="7">
        <f t="shared" ca="1" si="1"/>
        <v>4</v>
      </c>
      <c r="I66">
        <f t="shared" ca="1" si="2"/>
        <v>0</v>
      </c>
    </row>
    <row r="67" spans="1:9">
      <c r="A67" t="s">
        <v>68</v>
      </c>
      <c r="B67" t="s">
        <v>204</v>
      </c>
      <c r="C67" s="4">
        <v>29013</v>
      </c>
      <c r="D67" t="s">
        <v>205</v>
      </c>
      <c r="E67" s="4">
        <v>39873</v>
      </c>
      <c r="F67">
        <v>70000</v>
      </c>
      <c r="G67" s="6">
        <f t="shared" ref="G67:G100" ca="1" si="3">YEAR(TODAY())-YEAR(C67)</f>
        <v>47</v>
      </c>
      <c r="H67" s="7">
        <f t="shared" ref="H67:H100" ca="1" si="4">YEAR(TODAY())-YEAR(E67)</f>
        <v>17</v>
      </c>
      <c r="I67">
        <f t="shared" ref="I67:I100" ca="1" si="5">IF(H67&lt;5,0, IF(H67&lt;10,F67*5%, IF(H67&lt;15,F67*10%, IF(H67&lt;20,F67*15%,0))))</f>
        <v>10500</v>
      </c>
    </row>
    <row r="68" spans="1:9">
      <c r="A68" t="s">
        <v>53</v>
      </c>
      <c r="B68" t="s">
        <v>206</v>
      </c>
      <c r="C68" s="4">
        <v>34961</v>
      </c>
      <c r="D68" t="s">
        <v>207</v>
      </c>
      <c r="E68" s="4">
        <v>44348</v>
      </c>
      <c r="F68">
        <v>34000</v>
      </c>
      <c r="G68" s="6">
        <f t="shared" ca="1" si="3"/>
        <v>31</v>
      </c>
      <c r="H68" s="7">
        <f t="shared" ca="1" si="4"/>
        <v>5</v>
      </c>
      <c r="I68">
        <f t="shared" ca="1" si="5"/>
        <v>1700</v>
      </c>
    </row>
    <row r="69" spans="1:9">
      <c r="A69" t="s">
        <v>208</v>
      </c>
      <c r="B69" t="s">
        <v>209</v>
      </c>
      <c r="C69" s="4">
        <v>31379</v>
      </c>
      <c r="D69" t="s">
        <v>210</v>
      </c>
      <c r="E69" s="4">
        <v>41852</v>
      </c>
      <c r="F69">
        <v>51000</v>
      </c>
      <c r="G69" s="6">
        <f t="shared" ca="1" si="3"/>
        <v>41</v>
      </c>
      <c r="H69" s="7">
        <f t="shared" ca="1" si="4"/>
        <v>12</v>
      </c>
      <c r="I69">
        <f t="shared" ca="1" si="5"/>
        <v>5100</v>
      </c>
    </row>
    <row r="70" spans="1:9">
      <c r="A70" t="s">
        <v>119</v>
      </c>
      <c r="B70" t="s">
        <v>211</v>
      </c>
      <c r="C70" s="4">
        <v>33280</v>
      </c>
      <c r="D70" t="s">
        <v>212</v>
      </c>
      <c r="E70" s="4">
        <v>43374</v>
      </c>
      <c r="F70">
        <v>46000</v>
      </c>
      <c r="G70" s="6">
        <f t="shared" ca="1" si="3"/>
        <v>35</v>
      </c>
      <c r="H70" s="7">
        <f t="shared" ca="1" si="4"/>
        <v>8</v>
      </c>
      <c r="I70">
        <f t="shared" ca="1" si="5"/>
        <v>2300</v>
      </c>
    </row>
    <row r="71" spans="1:9">
      <c r="A71" t="s">
        <v>213</v>
      </c>
      <c r="B71" t="s">
        <v>214</v>
      </c>
      <c r="C71" s="4">
        <v>35891</v>
      </c>
      <c r="D71" t="s">
        <v>215</v>
      </c>
      <c r="E71" s="4">
        <v>44958</v>
      </c>
      <c r="F71">
        <v>28000</v>
      </c>
      <c r="G71" s="6">
        <f t="shared" ca="1" si="3"/>
        <v>28</v>
      </c>
      <c r="H71" s="7">
        <f t="shared" ca="1" si="4"/>
        <v>3</v>
      </c>
      <c r="I71">
        <f t="shared" ca="1" si="5"/>
        <v>0</v>
      </c>
    </row>
    <row r="72" spans="1:9">
      <c r="A72" t="s">
        <v>77</v>
      </c>
      <c r="B72" t="s">
        <v>216</v>
      </c>
      <c r="C72" s="4">
        <v>31971</v>
      </c>
      <c r="D72" t="s">
        <v>217</v>
      </c>
      <c r="E72" s="4">
        <v>42491</v>
      </c>
      <c r="F72">
        <v>44000</v>
      </c>
      <c r="G72" s="6">
        <f t="shared" ca="1" si="3"/>
        <v>39</v>
      </c>
      <c r="H72" s="7">
        <f t="shared" ca="1" si="4"/>
        <v>10</v>
      </c>
      <c r="I72">
        <f t="shared" ca="1" si="5"/>
        <v>4400</v>
      </c>
    </row>
    <row r="73" spans="1:9">
      <c r="A73" t="s">
        <v>218</v>
      </c>
      <c r="B73" t="s">
        <v>219</v>
      </c>
      <c r="C73" s="4">
        <v>29981</v>
      </c>
      <c r="D73" t="s">
        <v>220</v>
      </c>
      <c r="E73" s="4">
        <v>40848</v>
      </c>
      <c r="F73">
        <v>59000</v>
      </c>
      <c r="G73" s="6">
        <f t="shared" ca="1" si="3"/>
        <v>44</v>
      </c>
      <c r="H73" s="7">
        <f t="shared" ca="1" si="4"/>
        <v>15</v>
      </c>
      <c r="I73">
        <f t="shared" ca="1" si="5"/>
        <v>8850</v>
      </c>
    </row>
    <row r="74" spans="1:9">
      <c r="A74" t="s">
        <v>41</v>
      </c>
      <c r="B74" t="s">
        <v>221</v>
      </c>
      <c r="C74" s="4">
        <v>34250</v>
      </c>
      <c r="D74" t="s">
        <v>222</v>
      </c>
      <c r="E74" s="4">
        <v>43525</v>
      </c>
      <c r="F74">
        <v>35000</v>
      </c>
      <c r="G74" s="6">
        <f t="shared" ca="1" si="3"/>
        <v>33</v>
      </c>
      <c r="H74" s="7">
        <f t="shared" ca="1" si="4"/>
        <v>7</v>
      </c>
      <c r="I74">
        <f t="shared" ca="1" si="5"/>
        <v>1750</v>
      </c>
    </row>
    <row r="75" spans="1:9">
      <c r="A75" t="s">
        <v>32</v>
      </c>
      <c r="B75" t="s">
        <v>223</v>
      </c>
      <c r="C75" s="4">
        <v>28841</v>
      </c>
      <c r="D75" t="s">
        <v>224</v>
      </c>
      <c r="E75" s="4">
        <v>39448</v>
      </c>
      <c r="F75">
        <v>76000</v>
      </c>
      <c r="G75" s="6">
        <f t="shared" ca="1" si="3"/>
        <v>48</v>
      </c>
      <c r="H75" s="7">
        <f t="shared" ca="1" si="4"/>
        <v>18</v>
      </c>
      <c r="I75">
        <f t="shared" ca="1" si="5"/>
        <v>11400</v>
      </c>
    </row>
    <row r="76" spans="1:9">
      <c r="A76" t="s">
        <v>161</v>
      </c>
      <c r="B76" t="s">
        <v>225</v>
      </c>
      <c r="C76" s="4">
        <v>35211</v>
      </c>
      <c r="D76" t="s">
        <v>226</v>
      </c>
      <c r="E76" s="4">
        <v>44440</v>
      </c>
      <c r="F76">
        <v>36000</v>
      </c>
      <c r="G76" s="6">
        <f t="shared" ca="1" si="3"/>
        <v>30</v>
      </c>
      <c r="H76" s="7">
        <f t="shared" ca="1" si="4"/>
        <v>5</v>
      </c>
      <c r="I76">
        <f t="shared" ca="1" si="5"/>
        <v>1800</v>
      </c>
    </row>
    <row r="77" spans="1:9">
      <c r="A77" t="s">
        <v>98</v>
      </c>
      <c r="B77" t="s">
        <v>227</v>
      </c>
      <c r="C77" s="4">
        <v>30745</v>
      </c>
      <c r="D77" t="s">
        <v>228</v>
      </c>
      <c r="E77" s="4">
        <v>41306</v>
      </c>
      <c r="F77">
        <v>52000</v>
      </c>
      <c r="G77" s="6">
        <f t="shared" ca="1" si="3"/>
        <v>42</v>
      </c>
      <c r="H77" s="7">
        <f t="shared" ca="1" si="4"/>
        <v>13</v>
      </c>
      <c r="I77">
        <f t="shared" ca="1" si="5"/>
        <v>5200</v>
      </c>
    </row>
    <row r="78" spans="1:9">
      <c r="A78" t="s">
        <v>113</v>
      </c>
      <c r="B78" t="s">
        <v>229</v>
      </c>
      <c r="C78" s="4">
        <v>35654</v>
      </c>
      <c r="D78" t="s">
        <v>230</v>
      </c>
      <c r="E78" s="4">
        <v>44652</v>
      </c>
      <c r="F78">
        <v>30000</v>
      </c>
      <c r="G78" s="6">
        <f t="shared" ca="1" si="3"/>
        <v>29</v>
      </c>
      <c r="H78" s="7">
        <f t="shared" ca="1" si="4"/>
        <v>4</v>
      </c>
      <c r="I78">
        <f t="shared" ca="1" si="5"/>
        <v>0</v>
      </c>
    </row>
    <row r="79" spans="1:9">
      <c r="A79" t="s">
        <v>231</v>
      </c>
      <c r="B79" t="s">
        <v>232</v>
      </c>
      <c r="C79" s="4">
        <v>32780</v>
      </c>
      <c r="D79" t="s">
        <v>233</v>
      </c>
      <c r="E79" s="4">
        <v>42887</v>
      </c>
      <c r="F79">
        <v>48000</v>
      </c>
      <c r="G79" s="6">
        <f t="shared" ca="1" si="3"/>
        <v>37</v>
      </c>
      <c r="H79" s="7">
        <f t="shared" ca="1" si="4"/>
        <v>9</v>
      </c>
      <c r="I79">
        <f t="shared" ca="1" si="5"/>
        <v>2400</v>
      </c>
    </row>
    <row r="80" spans="1:9">
      <c r="A80" t="s">
        <v>234</v>
      </c>
      <c r="B80" t="s">
        <v>235</v>
      </c>
      <c r="C80" s="4">
        <v>33953</v>
      </c>
      <c r="D80" t="s">
        <v>236</v>
      </c>
      <c r="E80" s="4">
        <v>43466</v>
      </c>
      <c r="F80">
        <v>42000</v>
      </c>
      <c r="G80" s="6">
        <f t="shared" ca="1" si="3"/>
        <v>34</v>
      </c>
      <c r="H80" s="7">
        <f t="shared" ca="1" si="4"/>
        <v>7</v>
      </c>
      <c r="I80">
        <f t="shared" ca="1" si="5"/>
        <v>2100</v>
      </c>
    </row>
    <row r="81" spans="1:9">
      <c r="A81" t="s">
        <v>237</v>
      </c>
      <c r="B81" t="s">
        <v>238</v>
      </c>
      <c r="C81" s="4">
        <v>31522</v>
      </c>
      <c r="D81" t="s">
        <v>239</v>
      </c>
      <c r="E81" s="4">
        <v>41883</v>
      </c>
      <c r="F81">
        <v>50000</v>
      </c>
      <c r="G81" s="6">
        <f t="shared" ca="1" si="3"/>
        <v>40</v>
      </c>
      <c r="H81" s="7">
        <f t="shared" ca="1" si="4"/>
        <v>12</v>
      </c>
      <c r="I81">
        <f t="shared" ca="1" si="5"/>
        <v>5000</v>
      </c>
    </row>
    <row r="82" spans="1:9">
      <c r="A82" t="s">
        <v>35</v>
      </c>
      <c r="B82" t="s">
        <v>240</v>
      </c>
      <c r="C82" s="4">
        <v>34851</v>
      </c>
      <c r="D82" t="s">
        <v>241</v>
      </c>
      <c r="E82" s="4">
        <v>44197</v>
      </c>
      <c r="F82">
        <v>34000</v>
      </c>
      <c r="G82" s="6">
        <f t="shared" ca="1" si="3"/>
        <v>31</v>
      </c>
      <c r="H82" s="7">
        <f t="shared" ca="1" si="4"/>
        <v>5</v>
      </c>
      <c r="I82">
        <f t="shared" ca="1" si="5"/>
        <v>1700</v>
      </c>
    </row>
    <row r="83" spans="1:9">
      <c r="A83" t="s">
        <v>242</v>
      </c>
      <c r="B83" t="s">
        <v>243</v>
      </c>
      <c r="C83" s="4">
        <v>29259</v>
      </c>
      <c r="D83" t="s">
        <v>244</v>
      </c>
      <c r="E83" s="4">
        <v>40360</v>
      </c>
      <c r="F83">
        <v>57000</v>
      </c>
      <c r="G83" s="6">
        <f t="shared" ca="1" si="3"/>
        <v>46</v>
      </c>
      <c r="H83" s="7">
        <f t="shared" ca="1" si="4"/>
        <v>16</v>
      </c>
      <c r="I83">
        <f t="shared" ca="1" si="5"/>
        <v>8550</v>
      </c>
    </row>
    <row r="84" spans="1:9">
      <c r="A84" t="s">
        <v>47</v>
      </c>
      <c r="B84" t="s">
        <v>245</v>
      </c>
      <c r="C84" s="4">
        <v>34655</v>
      </c>
      <c r="D84" t="s">
        <v>246</v>
      </c>
      <c r="E84" s="4">
        <v>44105</v>
      </c>
      <c r="F84">
        <v>39000</v>
      </c>
      <c r="G84" s="6">
        <f t="shared" ca="1" si="3"/>
        <v>32</v>
      </c>
      <c r="H84" s="7">
        <f t="shared" ca="1" si="4"/>
        <v>6</v>
      </c>
      <c r="I84">
        <f t="shared" ca="1" si="5"/>
        <v>1950</v>
      </c>
    </row>
    <row r="85" spans="1:9">
      <c r="A85" t="s">
        <v>170</v>
      </c>
      <c r="B85" t="s">
        <v>247</v>
      </c>
      <c r="C85" s="4">
        <v>28250</v>
      </c>
      <c r="D85" t="s">
        <v>248</v>
      </c>
      <c r="E85" s="4">
        <v>38718</v>
      </c>
      <c r="F85">
        <v>88000</v>
      </c>
      <c r="G85" s="6">
        <f t="shared" ca="1" si="3"/>
        <v>49</v>
      </c>
      <c r="H85" s="7">
        <f t="shared" ca="1" si="4"/>
        <v>20</v>
      </c>
      <c r="I85">
        <f t="shared" ca="1" si="5"/>
        <v>0</v>
      </c>
    </row>
    <row r="86" spans="1:9">
      <c r="A86" t="s">
        <v>101</v>
      </c>
      <c r="B86" t="s">
        <v>249</v>
      </c>
      <c r="C86" s="4">
        <v>36061</v>
      </c>
      <c r="D86" t="s">
        <v>250</v>
      </c>
      <c r="E86" s="4">
        <v>44986</v>
      </c>
      <c r="F86">
        <v>27000</v>
      </c>
      <c r="G86" s="6">
        <f t="shared" ca="1" si="3"/>
        <v>28</v>
      </c>
      <c r="H86" s="7">
        <f t="shared" ca="1" si="4"/>
        <v>3</v>
      </c>
      <c r="I86">
        <f t="shared" ca="1" si="5"/>
        <v>0</v>
      </c>
    </row>
    <row r="87" spans="1:9">
      <c r="A87" t="s">
        <v>50</v>
      </c>
      <c r="B87" t="s">
        <v>251</v>
      </c>
      <c r="C87" s="4">
        <v>31239</v>
      </c>
      <c r="D87" t="s">
        <v>252</v>
      </c>
      <c r="E87" s="4">
        <v>41654</v>
      </c>
      <c r="F87">
        <v>53000</v>
      </c>
      <c r="G87" s="6">
        <f t="shared" ca="1" si="3"/>
        <v>41</v>
      </c>
      <c r="H87" s="7">
        <f t="shared" ca="1" si="4"/>
        <v>12</v>
      </c>
      <c r="I87">
        <f t="shared" ca="1" si="5"/>
        <v>5300</v>
      </c>
    </row>
    <row r="88" spans="1:9">
      <c r="A88" t="s">
        <v>107</v>
      </c>
      <c r="B88" t="s">
        <v>253</v>
      </c>
      <c r="C88" s="4">
        <v>33244</v>
      </c>
      <c r="D88" t="s">
        <v>254</v>
      </c>
      <c r="E88" s="4">
        <v>43252</v>
      </c>
      <c r="F88">
        <v>46000</v>
      </c>
      <c r="G88" s="6">
        <f t="shared" ca="1" si="3"/>
        <v>35</v>
      </c>
      <c r="H88" s="7">
        <f t="shared" ca="1" si="4"/>
        <v>8</v>
      </c>
      <c r="I88">
        <f t="shared" ca="1" si="5"/>
        <v>2300</v>
      </c>
    </row>
    <row r="89" spans="1:9">
      <c r="A89" t="s">
        <v>17</v>
      </c>
      <c r="B89" t="s">
        <v>255</v>
      </c>
      <c r="C89" s="4">
        <v>30546</v>
      </c>
      <c r="D89" t="s">
        <v>256</v>
      </c>
      <c r="E89" s="4">
        <v>41183</v>
      </c>
      <c r="F89">
        <v>61000</v>
      </c>
      <c r="G89" s="6">
        <f t="shared" ca="1" si="3"/>
        <v>43</v>
      </c>
      <c r="H89" s="7">
        <f t="shared" ca="1" si="4"/>
        <v>14</v>
      </c>
      <c r="I89">
        <f t="shared" ca="1" si="5"/>
        <v>6100</v>
      </c>
    </row>
    <row r="90" spans="1:9">
      <c r="A90" t="s">
        <v>38</v>
      </c>
      <c r="B90" t="s">
        <v>257</v>
      </c>
      <c r="C90" s="4">
        <v>32185</v>
      </c>
      <c r="D90" t="s">
        <v>258</v>
      </c>
      <c r="E90" s="4">
        <v>42522</v>
      </c>
      <c r="F90">
        <v>45000</v>
      </c>
      <c r="G90" s="6">
        <f t="shared" ca="1" si="3"/>
        <v>38</v>
      </c>
      <c r="H90" s="7">
        <f t="shared" ca="1" si="4"/>
        <v>10</v>
      </c>
      <c r="I90">
        <f t="shared" ca="1" si="5"/>
        <v>4500</v>
      </c>
    </row>
    <row r="91" spans="1:9">
      <c r="A91" t="s">
        <v>53</v>
      </c>
      <c r="B91" t="s">
        <v>259</v>
      </c>
      <c r="C91" s="4">
        <v>34889</v>
      </c>
      <c r="D91" t="s">
        <v>260</v>
      </c>
      <c r="E91" s="4">
        <v>44228</v>
      </c>
      <c r="F91">
        <v>34000</v>
      </c>
      <c r="G91" s="6">
        <f t="shared" ca="1" si="3"/>
        <v>31</v>
      </c>
      <c r="H91" s="7">
        <f t="shared" ca="1" si="4"/>
        <v>5</v>
      </c>
      <c r="I91">
        <f t="shared" ca="1" si="5"/>
        <v>1700</v>
      </c>
    </row>
    <row r="92" spans="1:9">
      <c r="A92" t="s">
        <v>56</v>
      </c>
      <c r="B92" t="s">
        <v>261</v>
      </c>
      <c r="C92" s="4">
        <v>30280</v>
      </c>
      <c r="D92" t="s">
        <v>262</v>
      </c>
      <c r="E92" s="4">
        <v>40923</v>
      </c>
      <c r="F92">
        <v>54000</v>
      </c>
      <c r="G92" s="6">
        <f t="shared" ca="1" si="3"/>
        <v>44</v>
      </c>
      <c r="H92" s="7">
        <f t="shared" ca="1" si="4"/>
        <v>14</v>
      </c>
      <c r="I92">
        <f t="shared" ca="1" si="5"/>
        <v>5400</v>
      </c>
    </row>
    <row r="93" spans="1:9">
      <c r="A93" t="s">
        <v>65</v>
      </c>
      <c r="B93" t="s">
        <v>263</v>
      </c>
      <c r="C93" s="4">
        <v>34046</v>
      </c>
      <c r="D93" t="s">
        <v>264</v>
      </c>
      <c r="E93" s="4">
        <v>43709</v>
      </c>
      <c r="F93">
        <v>36000</v>
      </c>
      <c r="G93" s="6">
        <f t="shared" ca="1" si="3"/>
        <v>33</v>
      </c>
      <c r="H93" s="7">
        <f t="shared" ca="1" si="4"/>
        <v>7</v>
      </c>
      <c r="I93">
        <f t="shared" ca="1" si="5"/>
        <v>1800</v>
      </c>
    </row>
    <row r="94" spans="1:9">
      <c r="A94" t="s">
        <v>17</v>
      </c>
      <c r="B94" t="s">
        <v>265</v>
      </c>
      <c r="C94" s="4">
        <v>31659</v>
      </c>
      <c r="D94" t="s">
        <v>266</v>
      </c>
      <c r="E94" s="4">
        <v>42125</v>
      </c>
      <c r="F94">
        <v>52000</v>
      </c>
      <c r="G94" s="6">
        <f t="shared" ca="1" si="3"/>
        <v>40</v>
      </c>
      <c r="H94" s="7">
        <f t="shared" ca="1" si="4"/>
        <v>11</v>
      </c>
      <c r="I94">
        <f t="shared" ca="1" si="5"/>
        <v>5200</v>
      </c>
    </row>
    <row r="95" spans="1:9">
      <c r="A95" t="s">
        <v>41</v>
      </c>
      <c r="B95" t="s">
        <v>267</v>
      </c>
      <c r="C95" s="4">
        <v>35451</v>
      </c>
      <c r="D95" t="s">
        <v>268</v>
      </c>
      <c r="E95" s="4">
        <v>44835</v>
      </c>
      <c r="F95">
        <v>33000</v>
      </c>
      <c r="G95" s="6">
        <f t="shared" ca="1" si="3"/>
        <v>29</v>
      </c>
      <c r="H95" s="7">
        <f t="shared" ca="1" si="4"/>
        <v>4</v>
      </c>
      <c r="I95">
        <f t="shared" ca="1" si="5"/>
        <v>0</v>
      </c>
    </row>
    <row r="96" spans="1:9">
      <c r="A96" t="s">
        <v>68</v>
      </c>
      <c r="B96" t="s">
        <v>90</v>
      </c>
      <c r="C96" s="4">
        <v>29371</v>
      </c>
      <c r="D96" t="s">
        <v>269</v>
      </c>
      <c r="E96" s="4">
        <v>40269</v>
      </c>
      <c r="F96">
        <v>57000</v>
      </c>
      <c r="G96" s="6">
        <f t="shared" ca="1" si="3"/>
        <v>46</v>
      </c>
      <c r="H96" s="7">
        <f t="shared" ca="1" si="4"/>
        <v>16</v>
      </c>
      <c r="I96">
        <f t="shared" ca="1" si="5"/>
        <v>8550</v>
      </c>
    </row>
    <row r="97" spans="1:9">
      <c r="A97" t="s">
        <v>71</v>
      </c>
      <c r="B97" t="s">
        <v>270</v>
      </c>
      <c r="C97" s="4">
        <v>34674</v>
      </c>
      <c r="D97" t="s">
        <v>271</v>
      </c>
      <c r="E97" s="4">
        <v>43983</v>
      </c>
      <c r="F97">
        <v>35000</v>
      </c>
      <c r="G97" s="6">
        <f t="shared" ca="1" si="3"/>
        <v>32</v>
      </c>
      <c r="H97" s="7">
        <f t="shared" ca="1" si="4"/>
        <v>6</v>
      </c>
      <c r="I97">
        <f t="shared" ca="1" si="5"/>
        <v>1750</v>
      </c>
    </row>
    <row r="98" spans="1:9">
      <c r="A98" t="s">
        <v>134</v>
      </c>
      <c r="B98" t="s">
        <v>150</v>
      </c>
      <c r="C98" s="4">
        <v>32734</v>
      </c>
      <c r="D98" t="s">
        <v>272</v>
      </c>
      <c r="E98" s="4">
        <v>42795</v>
      </c>
      <c r="F98">
        <v>60000</v>
      </c>
      <c r="G98" s="6">
        <f t="shared" ca="1" si="3"/>
        <v>37</v>
      </c>
      <c r="H98" s="7">
        <f t="shared" ca="1" si="4"/>
        <v>9</v>
      </c>
      <c r="I98">
        <f t="shared" ca="1" si="5"/>
        <v>3000</v>
      </c>
    </row>
    <row r="99" spans="1:9">
      <c r="A99" t="s">
        <v>119</v>
      </c>
      <c r="B99" t="s">
        <v>273</v>
      </c>
      <c r="C99" s="4">
        <v>35183</v>
      </c>
      <c r="D99" t="s">
        <v>274</v>
      </c>
      <c r="E99" s="4">
        <v>44501</v>
      </c>
      <c r="F99">
        <v>32000</v>
      </c>
      <c r="G99" s="6">
        <f t="shared" ca="1" si="3"/>
        <v>30</v>
      </c>
      <c r="H99" s="7">
        <f t="shared" ca="1" si="4"/>
        <v>5</v>
      </c>
      <c r="I99">
        <f t="shared" ca="1" si="5"/>
        <v>1600</v>
      </c>
    </row>
    <row r="100" spans="1:9">
      <c r="A100" t="s">
        <v>32</v>
      </c>
      <c r="B100" t="s">
        <v>275</v>
      </c>
      <c r="C100" s="4">
        <v>31947</v>
      </c>
      <c r="D100" t="s">
        <v>276</v>
      </c>
      <c r="E100" s="4">
        <v>42614</v>
      </c>
      <c r="F100">
        <v>58000</v>
      </c>
      <c r="G100" s="6">
        <f t="shared" ca="1" si="3"/>
        <v>39</v>
      </c>
      <c r="H100" s="7">
        <f t="shared" ca="1" si="4"/>
        <v>10</v>
      </c>
      <c r="I100">
        <f t="shared" ca="1" si="5"/>
        <v>5800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26DF-5321-4432-8562-D790ED3A3514}">
  <dimension ref="A1:B101"/>
  <sheetViews>
    <sheetView topLeftCell="C7" workbookViewId="0">
      <selection activeCell="A2" sqref="A2"/>
    </sheetView>
  </sheetViews>
  <sheetFormatPr defaultRowHeight="15"/>
  <cols>
    <col min="1" max="1" width="34.7109375" bestFit="1" customWidth="1"/>
    <col min="2" max="2" width="23.85546875" bestFit="1" customWidth="1"/>
  </cols>
  <sheetData>
    <row r="1" spans="1:2">
      <c r="A1" s="8" t="s">
        <v>14</v>
      </c>
      <c r="B1" t="s">
        <v>283</v>
      </c>
    </row>
    <row r="2" spans="1:2">
      <c r="A2" t="s">
        <v>43</v>
      </c>
      <c r="B2" s="6">
        <v>40000</v>
      </c>
    </row>
    <row r="3" spans="1:2">
      <c r="A3" t="s">
        <v>85</v>
      </c>
      <c r="B3" s="6">
        <v>32000</v>
      </c>
    </row>
    <row r="4" spans="1:2">
      <c r="A4" t="s">
        <v>190</v>
      </c>
      <c r="B4" s="6">
        <v>34000</v>
      </c>
    </row>
    <row r="5" spans="1:2">
      <c r="A5" t="s">
        <v>34</v>
      </c>
      <c r="B5" s="6">
        <v>42000</v>
      </c>
    </row>
    <row r="6" spans="1:2">
      <c r="A6" t="s">
        <v>61</v>
      </c>
      <c r="B6" s="6">
        <v>28000</v>
      </c>
    </row>
    <row r="7" spans="1:2">
      <c r="A7" t="s">
        <v>230</v>
      </c>
      <c r="B7" s="6">
        <v>30000</v>
      </c>
    </row>
    <row r="8" spans="1:2">
      <c r="A8" t="s">
        <v>185</v>
      </c>
      <c r="B8" s="6">
        <v>29000</v>
      </c>
    </row>
    <row r="9" spans="1:2">
      <c r="A9" t="s">
        <v>169</v>
      </c>
      <c r="B9" s="6">
        <v>24000</v>
      </c>
    </row>
    <row r="10" spans="1:2">
      <c r="A10" t="s">
        <v>127</v>
      </c>
      <c r="B10" s="6">
        <v>28000</v>
      </c>
    </row>
    <row r="11" spans="1:2">
      <c r="A11" t="s">
        <v>222</v>
      </c>
      <c r="B11" s="6">
        <v>35000</v>
      </c>
    </row>
    <row r="12" spans="1:2">
      <c r="A12" t="s">
        <v>246</v>
      </c>
      <c r="B12" s="6">
        <v>39000</v>
      </c>
    </row>
    <row r="13" spans="1:2">
      <c r="A13" t="s">
        <v>136</v>
      </c>
      <c r="B13" s="6">
        <v>44000</v>
      </c>
    </row>
    <row r="14" spans="1:2">
      <c r="A14" t="s">
        <v>198</v>
      </c>
      <c r="B14" s="6">
        <v>45000</v>
      </c>
    </row>
    <row r="15" spans="1:2">
      <c r="A15" t="s">
        <v>268</v>
      </c>
      <c r="B15" s="6">
        <v>33000</v>
      </c>
    </row>
    <row r="16" spans="1:2">
      <c r="A16" t="s">
        <v>172</v>
      </c>
      <c r="B16" s="6">
        <v>95000</v>
      </c>
    </row>
    <row r="17" spans="1:2">
      <c r="A17" t="s">
        <v>248</v>
      </c>
      <c r="B17" s="6">
        <v>88000</v>
      </c>
    </row>
    <row r="18" spans="1:2">
      <c r="A18" t="s">
        <v>188</v>
      </c>
      <c r="B18" s="6">
        <v>49000</v>
      </c>
    </row>
    <row r="19" spans="1:2">
      <c r="A19" t="s">
        <v>196</v>
      </c>
      <c r="B19" s="6">
        <v>36000</v>
      </c>
    </row>
    <row r="20" spans="1:2">
      <c r="A20" t="s">
        <v>212</v>
      </c>
      <c r="B20" s="6">
        <v>46000</v>
      </c>
    </row>
    <row r="21" spans="1:2">
      <c r="A21" t="s">
        <v>64</v>
      </c>
      <c r="B21" s="6">
        <v>46000</v>
      </c>
    </row>
    <row r="22" spans="1:2">
      <c r="A22" t="s">
        <v>73</v>
      </c>
      <c r="B22" s="6">
        <v>30000</v>
      </c>
    </row>
    <row r="23" spans="1:2">
      <c r="A23" t="s">
        <v>133</v>
      </c>
      <c r="B23" s="6">
        <v>41000</v>
      </c>
    </row>
    <row r="24" spans="1:2">
      <c r="A24" t="s">
        <v>145</v>
      </c>
      <c r="B24" s="6">
        <v>32000</v>
      </c>
    </row>
    <row r="25" spans="1:2">
      <c r="A25" t="s">
        <v>241</v>
      </c>
      <c r="B25" s="6">
        <v>34000</v>
      </c>
    </row>
    <row r="26" spans="1:2">
      <c r="A26" t="s">
        <v>79</v>
      </c>
      <c r="B26" s="6">
        <v>39000</v>
      </c>
    </row>
    <row r="27" spans="1:2">
      <c r="A27" t="s">
        <v>163</v>
      </c>
      <c r="B27" s="6">
        <v>35000</v>
      </c>
    </row>
    <row r="28" spans="1:2">
      <c r="A28" t="s">
        <v>226</v>
      </c>
      <c r="B28" s="6">
        <v>36000</v>
      </c>
    </row>
    <row r="29" spans="1:2">
      <c r="A29" t="s">
        <v>94</v>
      </c>
      <c r="B29" s="6">
        <v>48000</v>
      </c>
    </row>
    <row r="30" spans="1:2">
      <c r="A30" t="s">
        <v>181</v>
      </c>
      <c r="B30" s="6">
        <v>33000</v>
      </c>
    </row>
    <row r="31" spans="1:2">
      <c r="A31" t="s">
        <v>100</v>
      </c>
      <c r="B31" s="6">
        <v>78000</v>
      </c>
    </row>
    <row r="32" spans="1:2">
      <c r="A32" t="s">
        <v>58</v>
      </c>
      <c r="B32" s="6">
        <v>80000</v>
      </c>
    </row>
    <row r="33" spans="1:2">
      <c r="A33" t="s">
        <v>28</v>
      </c>
      <c r="B33" s="6">
        <v>75000</v>
      </c>
    </row>
    <row r="34" spans="1:2">
      <c r="A34" t="s">
        <v>157</v>
      </c>
      <c r="B34" s="6">
        <v>72000</v>
      </c>
    </row>
    <row r="35" spans="1:2">
      <c r="A35" t="s">
        <v>207</v>
      </c>
      <c r="B35" s="6">
        <v>34000</v>
      </c>
    </row>
    <row r="36" spans="1:2">
      <c r="A36" t="s">
        <v>115</v>
      </c>
      <c r="B36" s="6">
        <v>33000</v>
      </c>
    </row>
    <row r="37" spans="1:2">
      <c r="A37" t="s">
        <v>121</v>
      </c>
      <c r="B37" s="6">
        <v>36000</v>
      </c>
    </row>
    <row r="38" spans="1:2">
      <c r="A38" t="s">
        <v>37</v>
      </c>
      <c r="B38" s="6">
        <v>32000</v>
      </c>
    </row>
    <row r="39" spans="1:2">
      <c r="A39" t="s">
        <v>264</v>
      </c>
      <c r="B39" s="6">
        <v>36000</v>
      </c>
    </row>
    <row r="40" spans="1:2">
      <c r="A40" t="s">
        <v>236</v>
      </c>
      <c r="B40" s="6">
        <v>42000</v>
      </c>
    </row>
    <row r="41" spans="1:2">
      <c r="A41" t="s">
        <v>25</v>
      </c>
      <c r="B41" s="6">
        <v>36000</v>
      </c>
    </row>
    <row r="42" spans="1:2">
      <c r="A42" t="s">
        <v>252</v>
      </c>
      <c r="B42" s="6">
        <v>53000</v>
      </c>
    </row>
    <row r="43" spans="1:2">
      <c r="A43" t="s">
        <v>228</v>
      </c>
      <c r="B43" s="6">
        <v>52000</v>
      </c>
    </row>
    <row r="44" spans="1:2">
      <c r="A44" t="s">
        <v>76</v>
      </c>
      <c r="B44" s="6">
        <v>50000</v>
      </c>
    </row>
    <row r="45" spans="1:2">
      <c r="A45" t="s">
        <v>262</v>
      </c>
      <c r="B45" s="6">
        <v>54000</v>
      </c>
    </row>
    <row r="46" spans="1:2">
      <c r="A46" t="s">
        <v>130</v>
      </c>
      <c r="B46" s="6">
        <v>51000</v>
      </c>
    </row>
    <row r="47" spans="1:2">
      <c r="A47" t="s">
        <v>174</v>
      </c>
      <c r="B47" s="6">
        <v>47000</v>
      </c>
    </row>
    <row r="48" spans="1:2">
      <c r="A48" t="s">
        <v>254</v>
      </c>
      <c r="B48" s="6">
        <v>46000</v>
      </c>
    </row>
    <row r="49" spans="1:2">
      <c r="A49" t="s">
        <v>183</v>
      </c>
      <c r="B49" s="6">
        <v>38000</v>
      </c>
    </row>
    <row r="50" spans="1:2">
      <c r="A50" t="s">
        <v>91</v>
      </c>
      <c r="B50" s="6">
        <v>29000</v>
      </c>
    </row>
    <row r="51" spans="1:2">
      <c r="A51" t="s">
        <v>203</v>
      </c>
      <c r="B51" s="6">
        <v>30000</v>
      </c>
    </row>
    <row r="52" spans="1:2">
      <c r="A52" t="s">
        <v>215</v>
      </c>
      <c r="B52" s="6">
        <v>28000</v>
      </c>
    </row>
    <row r="53" spans="1:2">
      <c r="A53" t="s">
        <v>139</v>
      </c>
      <c r="B53" s="6">
        <v>29000</v>
      </c>
    </row>
    <row r="54" spans="1:2">
      <c r="A54" t="s">
        <v>266</v>
      </c>
      <c r="B54" s="6">
        <v>52000</v>
      </c>
    </row>
    <row r="55" spans="1:2">
      <c r="A55" t="s">
        <v>109</v>
      </c>
      <c r="B55" s="6">
        <v>45000</v>
      </c>
    </row>
    <row r="56" spans="1:2">
      <c r="A56" t="s">
        <v>260</v>
      </c>
      <c r="B56" s="6">
        <v>34000</v>
      </c>
    </row>
    <row r="57" spans="1:2">
      <c r="A57" t="s">
        <v>31</v>
      </c>
      <c r="B57" s="6">
        <v>33000</v>
      </c>
    </row>
    <row r="58" spans="1:2">
      <c r="A58" t="s">
        <v>118</v>
      </c>
      <c r="B58" s="6">
        <v>46000</v>
      </c>
    </row>
    <row r="59" spans="1:2">
      <c r="A59" t="s">
        <v>151</v>
      </c>
      <c r="B59" s="6">
        <v>38000</v>
      </c>
    </row>
    <row r="60" spans="1:2">
      <c r="A60" t="s">
        <v>224</v>
      </c>
      <c r="B60" s="6">
        <v>76000</v>
      </c>
    </row>
    <row r="61" spans="1:2">
      <c r="A61" t="s">
        <v>177</v>
      </c>
      <c r="B61" s="6">
        <v>35000</v>
      </c>
    </row>
    <row r="62" spans="1:2">
      <c r="A62" t="s">
        <v>205</v>
      </c>
      <c r="B62" s="6">
        <v>70000</v>
      </c>
    </row>
    <row r="63" spans="1:2">
      <c r="A63" t="s">
        <v>97</v>
      </c>
      <c r="B63" s="6">
        <v>37000</v>
      </c>
    </row>
    <row r="64" spans="1:2">
      <c r="A64" t="s">
        <v>106</v>
      </c>
      <c r="B64" s="6">
        <v>52000</v>
      </c>
    </row>
    <row r="65" spans="1:2">
      <c r="A65" t="s">
        <v>233</v>
      </c>
      <c r="B65" s="6">
        <v>48000</v>
      </c>
    </row>
    <row r="66" spans="1:2">
      <c r="A66" t="s">
        <v>40</v>
      </c>
      <c r="B66" s="6">
        <v>48000</v>
      </c>
    </row>
    <row r="67" spans="1:2">
      <c r="A67" t="s">
        <v>82</v>
      </c>
      <c r="B67" s="6">
        <v>47000</v>
      </c>
    </row>
    <row r="68" spans="1:2">
      <c r="A68" t="s">
        <v>67</v>
      </c>
      <c r="B68" s="6">
        <v>34000</v>
      </c>
    </row>
    <row r="69" spans="1:2">
      <c r="A69" t="s">
        <v>112</v>
      </c>
      <c r="B69" s="6">
        <v>54000</v>
      </c>
    </row>
    <row r="70" spans="1:2">
      <c r="A70" t="s">
        <v>269</v>
      </c>
      <c r="B70" s="6">
        <v>57000</v>
      </c>
    </row>
    <row r="71" spans="1:2">
      <c r="A71" t="s">
        <v>160</v>
      </c>
      <c r="B71" s="6">
        <v>50000</v>
      </c>
    </row>
    <row r="72" spans="1:2">
      <c r="A72" t="s">
        <v>210</v>
      </c>
      <c r="B72" s="6">
        <v>51000</v>
      </c>
    </row>
    <row r="73" spans="1:2">
      <c r="A73" t="s">
        <v>244</v>
      </c>
      <c r="B73" s="6">
        <v>57000</v>
      </c>
    </row>
    <row r="74" spans="1:2">
      <c r="A74" t="s">
        <v>258</v>
      </c>
      <c r="B74" s="6">
        <v>45000</v>
      </c>
    </row>
    <row r="75" spans="1:2">
      <c r="A75" t="s">
        <v>201</v>
      </c>
      <c r="B75" s="6">
        <v>58000</v>
      </c>
    </row>
    <row r="76" spans="1:2">
      <c r="A76" t="s">
        <v>19</v>
      </c>
      <c r="B76" s="6">
        <v>52000</v>
      </c>
    </row>
    <row r="77" spans="1:2">
      <c r="A77" t="s">
        <v>88</v>
      </c>
      <c r="B77" s="6">
        <v>56000</v>
      </c>
    </row>
    <row r="78" spans="1:2">
      <c r="A78" t="s">
        <v>179</v>
      </c>
      <c r="B78" s="6">
        <v>52000</v>
      </c>
    </row>
    <row r="79" spans="1:2">
      <c r="A79" t="s">
        <v>166</v>
      </c>
      <c r="B79" s="6">
        <v>54000</v>
      </c>
    </row>
    <row r="80" spans="1:2">
      <c r="A80" t="s">
        <v>220</v>
      </c>
      <c r="B80" s="6">
        <v>59000</v>
      </c>
    </row>
    <row r="81" spans="1:2">
      <c r="A81" t="s">
        <v>276</v>
      </c>
      <c r="B81" s="6">
        <v>58000</v>
      </c>
    </row>
    <row r="82" spans="1:2">
      <c r="A82" t="s">
        <v>70</v>
      </c>
      <c r="B82" s="6">
        <v>62000</v>
      </c>
    </row>
    <row r="83" spans="1:2">
      <c r="A83" t="s">
        <v>142</v>
      </c>
      <c r="B83" s="6">
        <v>56000</v>
      </c>
    </row>
    <row r="84" spans="1:2">
      <c r="A84" t="s">
        <v>124</v>
      </c>
      <c r="B84" s="6">
        <v>58000</v>
      </c>
    </row>
    <row r="85" spans="1:2">
      <c r="A85" t="s">
        <v>256</v>
      </c>
      <c r="B85" s="6">
        <v>61000</v>
      </c>
    </row>
    <row r="86" spans="1:2">
      <c r="A86" t="s">
        <v>193</v>
      </c>
      <c r="B86" s="6">
        <v>60000</v>
      </c>
    </row>
    <row r="87" spans="1:2">
      <c r="A87" t="s">
        <v>239</v>
      </c>
      <c r="B87" s="6">
        <v>50000</v>
      </c>
    </row>
    <row r="88" spans="1:2">
      <c r="A88" t="s">
        <v>46</v>
      </c>
      <c r="B88" s="6">
        <v>55000</v>
      </c>
    </row>
    <row r="89" spans="1:2">
      <c r="A89" t="s">
        <v>148</v>
      </c>
      <c r="B89" s="6">
        <v>47000</v>
      </c>
    </row>
    <row r="90" spans="1:2">
      <c r="A90" t="s">
        <v>103</v>
      </c>
      <c r="B90" s="6">
        <v>27000</v>
      </c>
    </row>
    <row r="91" spans="1:2">
      <c r="A91" t="s">
        <v>52</v>
      </c>
      <c r="B91" s="6">
        <v>43000</v>
      </c>
    </row>
    <row r="92" spans="1:2">
      <c r="A92" t="s">
        <v>49</v>
      </c>
      <c r="B92" s="6">
        <v>31000</v>
      </c>
    </row>
    <row r="93" spans="1:2">
      <c r="A93" t="s">
        <v>272</v>
      </c>
      <c r="B93" s="6">
        <v>60000</v>
      </c>
    </row>
    <row r="94" spans="1:2">
      <c r="A94" t="s">
        <v>154</v>
      </c>
      <c r="B94" s="6">
        <v>22000</v>
      </c>
    </row>
    <row r="95" spans="1:2">
      <c r="A95" t="s">
        <v>217</v>
      </c>
      <c r="B95" s="6">
        <v>44000</v>
      </c>
    </row>
    <row r="96" spans="1:2">
      <c r="A96" t="s">
        <v>22</v>
      </c>
      <c r="B96" s="6">
        <v>38000</v>
      </c>
    </row>
    <row r="97" spans="1:2">
      <c r="A97" t="s">
        <v>250</v>
      </c>
      <c r="B97" s="6">
        <v>27000</v>
      </c>
    </row>
    <row r="98" spans="1:2">
      <c r="A98" t="s">
        <v>271</v>
      </c>
      <c r="B98" s="6">
        <v>35000</v>
      </c>
    </row>
    <row r="99" spans="1:2">
      <c r="A99" t="s">
        <v>274</v>
      </c>
      <c r="B99" s="6">
        <v>32000</v>
      </c>
    </row>
    <row r="100" spans="1:2">
      <c r="A100" t="s">
        <v>55</v>
      </c>
      <c r="B100" s="6">
        <v>35000</v>
      </c>
    </row>
    <row r="101" spans="1:2">
      <c r="A101" t="s">
        <v>284</v>
      </c>
      <c r="B101" s="6">
        <v>45181.818181818184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5FA5-BF04-42A5-850C-27F84EBD268D}">
  <dimension ref="A1:I32"/>
  <sheetViews>
    <sheetView topLeftCell="H1" workbookViewId="0">
      <selection activeCell="G36" sqref="G36"/>
    </sheetView>
  </sheetViews>
  <sheetFormatPr defaultRowHeight="15"/>
  <cols>
    <col min="2" max="2" width="9.140625" style="5"/>
    <col min="3" max="3" width="19.140625" bestFit="1" customWidth="1"/>
    <col min="4" max="4" width="14.42578125" bestFit="1" customWidth="1"/>
    <col min="7" max="7" width="16" bestFit="1" customWidth="1"/>
    <col min="8" max="8" width="9.7109375" bestFit="1" customWidth="1"/>
    <col min="9" max="9" width="11.5703125" bestFit="1" customWidth="1"/>
  </cols>
  <sheetData>
    <row r="1" spans="1:9">
      <c r="A1" t="s">
        <v>285</v>
      </c>
      <c r="B1" s="5" t="s">
        <v>286</v>
      </c>
      <c r="C1" t="s">
        <v>287</v>
      </c>
      <c r="D1" t="s">
        <v>288</v>
      </c>
      <c r="F1" t="s">
        <v>285</v>
      </c>
      <c r="G1" t="s">
        <v>289</v>
      </c>
      <c r="H1" t="s">
        <v>290</v>
      </c>
      <c r="I1" t="s">
        <v>291</v>
      </c>
    </row>
    <row r="2" spans="1:9">
      <c r="A2">
        <v>1990</v>
      </c>
      <c r="B2" s="5">
        <v>22.7</v>
      </c>
      <c r="C2">
        <v>16</v>
      </c>
      <c r="D2">
        <v>14.1</v>
      </c>
      <c r="F2">
        <v>1990</v>
      </c>
      <c r="G2">
        <f>(B2-MIN($B$2:$B$32))/(MAX($B$2:$B$32)-MIN($B$2:$B$32))</f>
        <v>0</v>
      </c>
      <c r="H2">
        <f>(C2-MIN($C$2:$C32))/(MAX($C$2:$C$32)-MIN($C$2:$C$32))</f>
        <v>1</v>
      </c>
      <c r="I2">
        <f>(D2-MIN($D$2:$D$32))/(MAX($D$2:$D$32)-MIN($D$2:$D$32))</f>
        <v>0</v>
      </c>
    </row>
    <row r="3" spans="1:9">
      <c r="A3">
        <v>1991</v>
      </c>
      <c r="B3" s="5">
        <v>22.9</v>
      </c>
      <c r="C3">
        <v>15.8</v>
      </c>
      <c r="D3">
        <v>14.12</v>
      </c>
      <c r="F3">
        <v>1991</v>
      </c>
      <c r="G3">
        <f t="shared" ref="G3:G32" si="0">(B3-MIN($B$2:$B$32))/(MAX($B$2:$B$32)-MIN($B$2:$B$32))</f>
        <v>1.8181818181818112E-2</v>
      </c>
      <c r="H3">
        <f>(C3-MIN($C$2:$C33))/(MAX($C$2:$C$32)-MIN($C$2:$C$32))</f>
        <v>0.93750000000000022</v>
      </c>
      <c r="I3">
        <f t="shared" ref="I3:I32" si="1">(D3-MIN($D$2:$D$32))/(MAX($D$2:$D$32)-MIN($D$2:$D$32))</f>
        <v>3.6363636363635543E-2</v>
      </c>
    </row>
    <row r="4" spans="1:9">
      <c r="A4">
        <v>1992</v>
      </c>
      <c r="B4" s="5">
        <v>23.1</v>
      </c>
      <c r="C4">
        <v>15.6</v>
      </c>
      <c r="D4">
        <v>14.14</v>
      </c>
      <c r="F4">
        <v>1992</v>
      </c>
      <c r="G4">
        <f t="shared" si="0"/>
        <v>3.6363636363636542E-2</v>
      </c>
      <c r="H4">
        <f>(C4-MIN($C$2:$C34))/(MAX($C$2:$C$32)-MIN($C$2:$C$32))</f>
        <v>0.87499999999999989</v>
      </c>
      <c r="I4">
        <f t="shared" si="1"/>
        <v>7.272727272727432E-2</v>
      </c>
    </row>
    <row r="5" spans="1:9">
      <c r="A5">
        <v>1993</v>
      </c>
      <c r="B5" s="5">
        <v>23.3</v>
      </c>
      <c r="C5">
        <v>15.5</v>
      </c>
      <c r="D5">
        <v>14.15</v>
      </c>
      <c r="F5">
        <v>1993</v>
      </c>
      <c r="G5">
        <f t="shared" si="0"/>
        <v>5.4545454545454654E-2</v>
      </c>
      <c r="H5">
        <f>(C5-MIN($C$2:$C35))/(MAX($C$2:$C$32)-MIN($C$2:$C$32))</f>
        <v>0.84375</v>
      </c>
      <c r="I5">
        <f t="shared" si="1"/>
        <v>9.0909090909092077E-2</v>
      </c>
    </row>
    <row r="6" spans="1:9">
      <c r="A6">
        <v>1994</v>
      </c>
      <c r="B6" s="5">
        <v>23.6</v>
      </c>
      <c r="C6">
        <v>15.4</v>
      </c>
      <c r="D6">
        <v>14.17</v>
      </c>
      <c r="F6">
        <v>1994</v>
      </c>
      <c r="G6">
        <f t="shared" si="0"/>
        <v>8.1818181818181984E-2</v>
      </c>
      <c r="H6">
        <f>(C6-MIN($C$2:$C36))/(MAX($C$2:$C$32)-MIN($C$2:$C$32))</f>
        <v>0.81250000000000011</v>
      </c>
      <c r="I6">
        <f t="shared" si="1"/>
        <v>0.12727272727272762</v>
      </c>
    </row>
    <row r="7" spans="1:9">
      <c r="A7">
        <v>1995</v>
      </c>
      <c r="B7" s="5">
        <v>23.9</v>
      </c>
      <c r="C7">
        <v>15.3</v>
      </c>
      <c r="D7">
        <v>14.19</v>
      </c>
      <c r="F7">
        <v>1995</v>
      </c>
      <c r="G7">
        <f t="shared" si="0"/>
        <v>0.10909090909090899</v>
      </c>
      <c r="H7">
        <f>(C7-MIN($C$2:$C37))/(MAX($C$2:$C$32)-MIN($C$2:$C$32))</f>
        <v>0.78125000000000022</v>
      </c>
      <c r="I7">
        <f t="shared" si="1"/>
        <v>0.16363636363636316</v>
      </c>
    </row>
    <row r="8" spans="1:9">
      <c r="A8">
        <v>1996</v>
      </c>
      <c r="B8" s="5">
        <v>24.2</v>
      </c>
      <c r="C8">
        <v>15.2</v>
      </c>
      <c r="D8">
        <v>14.2</v>
      </c>
      <c r="F8">
        <v>1996</v>
      </c>
      <c r="G8">
        <f t="shared" si="0"/>
        <v>0.13636363636363633</v>
      </c>
      <c r="H8">
        <f>(C8-MIN($C$2:$C38))/(MAX($C$2:$C$32)-MIN($C$2:$C$32))</f>
        <v>0.74999999999999978</v>
      </c>
      <c r="I8">
        <f t="shared" si="1"/>
        <v>0.18181818181818094</v>
      </c>
    </row>
    <row r="9" spans="1:9">
      <c r="A9">
        <v>1997</v>
      </c>
      <c r="B9" s="5">
        <v>24.6</v>
      </c>
      <c r="C9">
        <v>15.1</v>
      </c>
      <c r="D9">
        <v>14.22</v>
      </c>
      <c r="F9">
        <v>1997</v>
      </c>
      <c r="G9">
        <f t="shared" si="0"/>
        <v>0.17272727272727287</v>
      </c>
      <c r="H9">
        <f>(C9-MIN($C$2:$C39))/(MAX($C$2:$C$32)-MIN($C$2:$C$32))</f>
        <v>0.71874999999999978</v>
      </c>
      <c r="I9">
        <f t="shared" si="1"/>
        <v>0.2181818181818197</v>
      </c>
    </row>
    <row r="10" spans="1:9">
      <c r="A10">
        <v>1998</v>
      </c>
      <c r="B10" s="5">
        <v>24.9</v>
      </c>
      <c r="C10">
        <v>15</v>
      </c>
      <c r="D10">
        <v>14.24</v>
      </c>
      <c r="F10">
        <v>1998</v>
      </c>
      <c r="G10">
        <f t="shared" si="0"/>
        <v>0.19999999999999987</v>
      </c>
      <c r="H10">
        <f>(C10-MIN($C$2:$C40))/(MAX($C$2:$C$32)-MIN($C$2:$C$32))</f>
        <v>0.68749999999999989</v>
      </c>
      <c r="I10">
        <f t="shared" si="1"/>
        <v>0.25454545454545524</v>
      </c>
    </row>
    <row r="11" spans="1:9">
      <c r="A11">
        <v>1999</v>
      </c>
      <c r="B11" s="5">
        <v>25.2</v>
      </c>
      <c r="C11">
        <v>14.9</v>
      </c>
      <c r="D11">
        <v>14.25</v>
      </c>
      <c r="F11">
        <v>1999</v>
      </c>
      <c r="G11">
        <f t="shared" si="0"/>
        <v>0.22727272727272721</v>
      </c>
      <c r="H11">
        <f>(C11-MIN($C$2:$C41))/(MAX($C$2:$C$32)-MIN($C$2:$C$32))</f>
        <v>0.65625</v>
      </c>
      <c r="I11">
        <f t="shared" si="1"/>
        <v>0.27272727272727304</v>
      </c>
    </row>
    <row r="12" spans="1:9">
      <c r="A12">
        <v>2000</v>
      </c>
      <c r="B12" s="5">
        <v>25.6</v>
      </c>
      <c r="C12">
        <v>14.8</v>
      </c>
      <c r="D12">
        <v>14.27</v>
      </c>
      <c r="F12">
        <v>2000</v>
      </c>
      <c r="G12">
        <f t="shared" si="0"/>
        <v>0.26363636363636372</v>
      </c>
      <c r="H12">
        <f>(C12-MIN($C$2:$C42))/(MAX($C$2:$C$32)-MIN($C$2:$C$32))</f>
        <v>0.62500000000000011</v>
      </c>
      <c r="I12">
        <f t="shared" si="1"/>
        <v>0.30909090909090858</v>
      </c>
    </row>
    <row r="13" spans="1:9">
      <c r="A13">
        <v>2001</v>
      </c>
      <c r="B13" s="5">
        <v>25.9</v>
      </c>
      <c r="C13">
        <v>14.7</v>
      </c>
      <c r="D13">
        <v>14.28</v>
      </c>
      <c r="F13">
        <v>2001</v>
      </c>
      <c r="G13">
        <f t="shared" si="0"/>
        <v>0.29090909090909073</v>
      </c>
      <c r="H13">
        <f>(C13-MIN($C$2:$C43))/(MAX($C$2:$C$32)-MIN($C$2:$C$32))</f>
        <v>0.59374999999999967</v>
      </c>
      <c r="I13">
        <f t="shared" si="1"/>
        <v>0.32727272727272633</v>
      </c>
    </row>
    <row r="14" spans="1:9">
      <c r="A14">
        <v>2002</v>
      </c>
      <c r="B14" s="5">
        <v>26.3</v>
      </c>
      <c r="C14">
        <v>14.6</v>
      </c>
      <c r="D14">
        <v>14.3</v>
      </c>
      <c r="F14">
        <v>2002</v>
      </c>
      <c r="G14">
        <f t="shared" si="0"/>
        <v>0.32727272727272727</v>
      </c>
      <c r="H14">
        <f>(C14-MIN($C$2:$C44))/(MAX($C$2:$C$32)-MIN($C$2:$C$32))</f>
        <v>0.56249999999999978</v>
      </c>
      <c r="I14">
        <f t="shared" si="1"/>
        <v>0.36363636363636509</v>
      </c>
    </row>
    <row r="15" spans="1:9">
      <c r="A15">
        <v>2003</v>
      </c>
      <c r="B15" s="5">
        <v>26.7</v>
      </c>
      <c r="C15">
        <v>14.5</v>
      </c>
      <c r="D15">
        <v>14.32</v>
      </c>
      <c r="F15">
        <v>2003</v>
      </c>
      <c r="G15">
        <f t="shared" si="0"/>
        <v>0.36363636363636354</v>
      </c>
      <c r="H15">
        <f>(C15-MIN($C$2:$C45))/(MAX($C$2:$C$32)-MIN($C$2:$C$32))</f>
        <v>0.53124999999999989</v>
      </c>
      <c r="I15">
        <f t="shared" si="1"/>
        <v>0.40000000000000063</v>
      </c>
    </row>
    <row r="16" spans="1:9">
      <c r="A16">
        <v>2004</v>
      </c>
      <c r="B16" s="5">
        <v>27.1</v>
      </c>
      <c r="C16">
        <v>14.4</v>
      </c>
      <c r="D16">
        <v>14.34</v>
      </c>
      <c r="F16">
        <v>2004</v>
      </c>
      <c r="G16">
        <f t="shared" si="0"/>
        <v>0.40000000000000008</v>
      </c>
      <c r="H16">
        <f>(C16-MIN($C$2:$C46))/(MAX($C$2:$C$32)-MIN($C$2:$C$32))</f>
        <v>0.5</v>
      </c>
      <c r="I16">
        <f t="shared" si="1"/>
        <v>0.43636363636363618</v>
      </c>
    </row>
    <row r="17" spans="1:9">
      <c r="A17">
        <v>2005</v>
      </c>
      <c r="B17" s="5">
        <v>27.6</v>
      </c>
      <c r="C17">
        <v>14.3</v>
      </c>
      <c r="D17">
        <v>14.36</v>
      </c>
      <c r="F17">
        <v>2005</v>
      </c>
      <c r="G17">
        <f t="shared" si="0"/>
        <v>0.44545454545454549</v>
      </c>
      <c r="H17">
        <f>(C17-MIN($C$2:$C47))/(MAX($C$2:$C$32)-MIN($C$2:$C$32))</f>
        <v>0.46875000000000011</v>
      </c>
      <c r="I17">
        <f t="shared" si="1"/>
        <v>0.47272727272727172</v>
      </c>
    </row>
    <row r="18" spans="1:9">
      <c r="A18">
        <v>2006</v>
      </c>
      <c r="B18" s="5">
        <v>28.1</v>
      </c>
      <c r="C18">
        <v>14.2</v>
      </c>
      <c r="D18">
        <v>14.38</v>
      </c>
      <c r="F18">
        <v>2006</v>
      </c>
      <c r="G18">
        <f t="shared" si="0"/>
        <v>0.49090909090909096</v>
      </c>
      <c r="H18">
        <f>(C18-MIN($C$2:$C48))/(MAX($C$2:$C$32)-MIN($C$2:$C$32))</f>
        <v>0.43749999999999967</v>
      </c>
      <c r="I18">
        <f t="shared" si="1"/>
        <v>0.50909090909091048</v>
      </c>
    </row>
    <row r="19" spans="1:9">
      <c r="A19">
        <v>2007</v>
      </c>
      <c r="B19" s="5">
        <v>28.6</v>
      </c>
      <c r="C19">
        <v>14.1</v>
      </c>
      <c r="D19">
        <v>14.4</v>
      </c>
      <c r="F19">
        <v>2007</v>
      </c>
      <c r="G19">
        <f t="shared" si="0"/>
        <v>0.53636363636363638</v>
      </c>
      <c r="H19">
        <f>(C19-MIN($C$2:$C49))/(MAX($C$2:$C$32)-MIN($C$2:$C$32))</f>
        <v>0.40624999999999978</v>
      </c>
      <c r="I19">
        <f t="shared" si="1"/>
        <v>0.54545454545454608</v>
      </c>
    </row>
    <row r="20" spans="1:9">
      <c r="A20">
        <v>2008</v>
      </c>
      <c r="B20" s="5">
        <v>29</v>
      </c>
      <c r="C20">
        <v>14</v>
      </c>
      <c r="D20">
        <v>14.42</v>
      </c>
      <c r="F20">
        <v>2008</v>
      </c>
      <c r="G20">
        <f t="shared" si="0"/>
        <v>0.57272727272727264</v>
      </c>
      <c r="H20">
        <f>(C20-MIN($C$2:$C50))/(MAX($C$2:$C$32)-MIN($C$2:$C$32))</f>
        <v>0.37499999999999989</v>
      </c>
      <c r="I20">
        <f t="shared" si="1"/>
        <v>0.58181818181818157</v>
      </c>
    </row>
    <row r="21" spans="1:9">
      <c r="A21">
        <v>2009</v>
      </c>
      <c r="B21" s="5">
        <v>29.3</v>
      </c>
      <c r="C21">
        <v>13.9</v>
      </c>
      <c r="D21">
        <v>14.43</v>
      </c>
      <c r="F21">
        <v>2009</v>
      </c>
      <c r="G21">
        <f t="shared" si="0"/>
        <v>0.6</v>
      </c>
      <c r="H21">
        <f>(C21-MIN($C$2:$C51))/(MAX($C$2:$C$32)-MIN($C$2:$C$32))</f>
        <v>0.34374999999999994</v>
      </c>
      <c r="I21">
        <f t="shared" si="1"/>
        <v>0.59999999999999931</v>
      </c>
    </row>
    <row r="22" spans="1:9">
      <c r="A22">
        <v>2010</v>
      </c>
      <c r="B22" s="5">
        <v>29.7</v>
      </c>
      <c r="C22">
        <v>13.8</v>
      </c>
      <c r="D22">
        <v>14.45</v>
      </c>
      <c r="F22">
        <v>2010</v>
      </c>
      <c r="G22">
        <f t="shared" si="0"/>
        <v>0.63636363636363613</v>
      </c>
      <c r="H22">
        <f>(C22-MIN($C$2:$C52))/(MAX($C$2:$C$32)-MIN($C$2:$C$32))</f>
        <v>0.31250000000000006</v>
      </c>
      <c r="I22">
        <f t="shared" si="1"/>
        <v>0.63636363636363491</v>
      </c>
    </row>
    <row r="23" spans="1:9">
      <c r="A23">
        <v>2011</v>
      </c>
      <c r="B23" s="5">
        <v>30.1</v>
      </c>
      <c r="C23">
        <v>13.7</v>
      </c>
      <c r="D23">
        <v>14.47</v>
      </c>
      <c r="F23">
        <v>2011</v>
      </c>
      <c r="G23">
        <f t="shared" si="0"/>
        <v>0.67272727272727273</v>
      </c>
      <c r="H23">
        <f>(C23-MIN($C$2:$C53))/(MAX($C$2:$C$32)-MIN($C$2:$C$32))</f>
        <v>0.28124999999999961</v>
      </c>
      <c r="I23">
        <f t="shared" si="1"/>
        <v>0.67272727272727362</v>
      </c>
    </row>
    <row r="24" spans="1:9">
      <c r="A24">
        <v>2012</v>
      </c>
      <c r="B24" s="5">
        <v>30.5</v>
      </c>
      <c r="C24">
        <v>13.6</v>
      </c>
      <c r="D24">
        <v>14.49</v>
      </c>
      <c r="F24">
        <v>2012</v>
      </c>
      <c r="G24">
        <f t="shared" si="0"/>
        <v>0.70909090909090888</v>
      </c>
      <c r="H24">
        <f>(C24-MIN($C$2:$C54))/(MAX($C$2:$C$32)-MIN($C$2:$C$32))</f>
        <v>0.24999999999999972</v>
      </c>
      <c r="I24">
        <f t="shared" si="1"/>
        <v>0.70909090909090922</v>
      </c>
    </row>
    <row r="25" spans="1:9">
      <c r="A25">
        <v>2013</v>
      </c>
      <c r="B25" s="5">
        <v>30.9</v>
      </c>
      <c r="C25">
        <v>13.5</v>
      </c>
      <c r="D25">
        <v>14.51</v>
      </c>
      <c r="F25">
        <v>2013</v>
      </c>
      <c r="G25">
        <f t="shared" si="0"/>
        <v>0.74545454545454515</v>
      </c>
      <c r="H25">
        <f>(C25-MIN($C$2:$C55))/(MAX($C$2:$C$32)-MIN($C$2:$C$32))</f>
        <v>0.21874999999999983</v>
      </c>
      <c r="I25">
        <f t="shared" si="1"/>
        <v>0.7454545454545447</v>
      </c>
    </row>
    <row r="26" spans="1:9">
      <c r="A26">
        <v>2014</v>
      </c>
      <c r="B26" s="5">
        <v>31.3</v>
      </c>
      <c r="C26">
        <v>13.4</v>
      </c>
      <c r="D26">
        <v>14.53</v>
      </c>
      <c r="F26">
        <v>2014</v>
      </c>
      <c r="G26">
        <f t="shared" si="0"/>
        <v>0.78181818181818175</v>
      </c>
      <c r="H26">
        <f>(C26-MIN($C$2:$C56))/(MAX($C$2:$C$32)-MIN($C$2:$C$32))</f>
        <v>0.18749999999999994</v>
      </c>
      <c r="I26">
        <f t="shared" si="1"/>
        <v>0.7818181818181803</v>
      </c>
    </row>
    <row r="27" spans="1:9">
      <c r="A27">
        <v>2015</v>
      </c>
      <c r="B27" s="5">
        <v>31.7</v>
      </c>
      <c r="C27">
        <v>13.3</v>
      </c>
      <c r="D27">
        <v>14.55</v>
      </c>
      <c r="F27">
        <v>2015</v>
      </c>
      <c r="G27">
        <f t="shared" si="0"/>
        <v>0.8181818181818179</v>
      </c>
      <c r="H27">
        <f>(C27-MIN($C$2:$C57))/(MAX($C$2:$C$32)-MIN($C$2:$C$32))</f>
        <v>0.15625000000000003</v>
      </c>
      <c r="I27">
        <f t="shared" si="1"/>
        <v>0.81818181818181901</v>
      </c>
    </row>
    <row r="28" spans="1:9">
      <c r="A28">
        <v>2016</v>
      </c>
      <c r="B28" s="5">
        <v>32.1</v>
      </c>
      <c r="C28">
        <v>13.2</v>
      </c>
      <c r="D28">
        <v>14.57</v>
      </c>
      <c r="F28">
        <v>2016</v>
      </c>
      <c r="G28">
        <f t="shared" si="0"/>
        <v>0.8545454545454545</v>
      </c>
      <c r="H28">
        <f>(C28-MIN($C$2:$C58))/(MAX($C$2:$C$32)-MIN($C$2:$C$32))</f>
        <v>0.12499999999999958</v>
      </c>
      <c r="I28">
        <f t="shared" si="1"/>
        <v>0.85454545454545461</v>
      </c>
    </row>
    <row r="29" spans="1:9">
      <c r="A29">
        <v>2017</v>
      </c>
      <c r="B29" s="5">
        <v>32.5</v>
      </c>
      <c r="C29">
        <v>13.1</v>
      </c>
      <c r="D29">
        <v>14.59</v>
      </c>
      <c r="F29">
        <v>2017</v>
      </c>
      <c r="G29">
        <f t="shared" si="0"/>
        <v>0.89090909090909065</v>
      </c>
      <c r="H29">
        <f>(C29-MIN($C$2:$C59))/(MAX($C$2:$C$32)-MIN($C$2:$C$32))</f>
        <v>9.3749999999999695E-2</v>
      </c>
      <c r="I29">
        <f t="shared" si="1"/>
        <v>0.8909090909090901</v>
      </c>
    </row>
    <row r="30" spans="1:9">
      <c r="A30">
        <v>2018</v>
      </c>
      <c r="B30" s="5">
        <v>32.9</v>
      </c>
      <c r="C30">
        <v>13</v>
      </c>
      <c r="D30">
        <v>14.61</v>
      </c>
      <c r="F30">
        <v>2018</v>
      </c>
      <c r="G30">
        <f t="shared" si="0"/>
        <v>0.92727272727272692</v>
      </c>
      <c r="H30">
        <f>(C30-MIN($C$2:$C60))/(MAX($C$2:$C$32)-MIN($C$2:$C$32))</f>
        <v>6.2499999999999792E-2</v>
      </c>
      <c r="I30">
        <f t="shared" si="1"/>
        <v>0.92727272727272569</v>
      </c>
    </row>
    <row r="31" spans="1:9">
      <c r="A31">
        <v>2019</v>
      </c>
      <c r="B31" s="5">
        <v>33.299999999999997</v>
      </c>
      <c r="C31">
        <v>12.9</v>
      </c>
      <c r="D31">
        <v>14.63</v>
      </c>
      <c r="F31">
        <v>2019</v>
      </c>
      <c r="G31">
        <f t="shared" si="0"/>
        <v>0.96363636363636318</v>
      </c>
      <c r="H31">
        <f>(C31-MIN($C$2:$C61))/(MAX($C$2:$C$32)-MIN($C$2:$C$32))</f>
        <v>3.1249999999999896E-2</v>
      </c>
      <c r="I31">
        <f t="shared" si="1"/>
        <v>0.96363636363636451</v>
      </c>
    </row>
    <row r="32" spans="1:9">
      <c r="A32">
        <v>2020</v>
      </c>
      <c r="B32" s="5">
        <v>33.700000000000003</v>
      </c>
      <c r="C32">
        <v>12.8</v>
      </c>
      <c r="D32">
        <v>14.65</v>
      </c>
      <c r="F32">
        <v>2020</v>
      </c>
      <c r="G32">
        <f t="shared" si="0"/>
        <v>1</v>
      </c>
      <c r="H32">
        <f>(C32-MIN($C$2:$C62))/(MAX($C$2:$C$32)-MIN($C$2:$C$32))</f>
        <v>0</v>
      </c>
      <c r="I32">
        <f t="shared" si="1"/>
        <v>1</v>
      </c>
    </row>
  </sheetData>
  <autoFilter ref="B1:B33" xr:uid="{FD865FA5-BF04-42A5-850C-27F84EBD268D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2026-01-17T09:15:06Z</dcterms:created>
  <dcterms:modified xsi:type="dcterms:W3CDTF">2026-01-17T15:30:38Z</dcterms:modified>
  <cp:category/>
  <cp:contentStatus/>
</cp:coreProperties>
</file>